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pham\Documents\Do an\"/>
    </mc:Choice>
  </mc:AlternateContent>
  <xr:revisionPtr revIDLastSave="0" documentId="13_ncr:1_{2402E2AA-C65F-47D7-84A8-61F108B758D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9" r:id="rId1"/>
    <sheet name="Testcase List" sheetId="1" r:id="rId2"/>
    <sheet name="Đăng nhập" sheetId="2" r:id="rId3"/>
    <sheet name="Thêm nhân viên" sheetId="3" r:id="rId4"/>
    <sheet name="Tìm nhân viên" sheetId="4" r:id="rId5"/>
    <sheet name="Xóa nhân viên " sheetId="6" r:id="rId6"/>
    <sheet name="Đăng ký nghỉ" sheetId="7" r:id="rId7"/>
    <sheet name="Cập nhật thông tin cá nhân" sheetId="8" r:id="rId8"/>
  </sheets>
  <calcPr calcId="191029"/>
</workbook>
</file>

<file path=xl/calcChain.xml><?xml version="1.0" encoding="utf-8"?>
<calcChain xmlns="http://schemas.openxmlformats.org/spreadsheetml/2006/main">
  <c r="H10" i="9" l="1"/>
  <c r="G10" i="9"/>
  <c r="F10" i="9"/>
  <c r="H7" i="9"/>
  <c r="G7" i="9"/>
  <c r="F7" i="9"/>
  <c r="E7" i="9"/>
  <c r="D4" i="2"/>
  <c r="F6" i="2" s="1"/>
  <c r="G5" i="8"/>
  <c r="F5" i="8"/>
  <c r="E5" i="8"/>
  <c r="D4" i="8"/>
  <c r="H6" i="7"/>
  <c r="H7" i="7" s="1"/>
  <c r="G6" i="7"/>
  <c r="G7" i="7" s="1"/>
  <c r="F6" i="7"/>
  <c r="F7" i="7" s="1"/>
  <c r="E5" i="7"/>
  <c r="G5" i="6"/>
  <c r="G6" i="6" s="1"/>
  <c r="F5" i="6"/>
  <c r="F6" i="6" s="1"/>
  <c r="E5" i="6"/>
  <c r="D4" i="6"/>
  <c r="G6" i="4"/>
  <c r="F6" i="4"/>
  <c r="G5" i="4"/>
  <c r="F5" i="4"/>
  <c r="E5" i="4"/>
  <c r="E6" i="4" s="1"/>
  <c r="D4" i="4"/>
  <c r="G5" i="3"/>
  <c r="F5" i="3"/>
  <c r="E5" i="3"/>
  <c r="D4" i="3"/>
  <c r="G5" i="2"/>
  <c r="F5" i="2"/>
  <c r="E5" i="2"/>
  <c r="G6" i="2" l="1"/>
  <c r="F6" i="8"/>
  <c r="G6" i="8"/>
  <c r="E6" i="6"/>
  <c r="G6" i="3"/>
  <c r="E6" i="8"/>
  <c r="F6" i="3"/>
  <c r="E6" i="3"/>
  <c r="E6" i="2"/>
</calcChain>
</file>

<file path=xl/sharedStrings.xml><?xml version="1.0" encoding="utf-8"?>
<sst xmlns="http://schemas.openxmlformats.org/spreadsheetml/2006/main" count="405" uniqueCount="233">
  <si>
    <t>TEST CASE LIST</t>
  </si>
  <si>
    <t>Project Name</t>
  </si>
  <si>
    <t>Hệ thống quản lý nhân sự OrangeHRM</t>
  </si>
  <si>
    <t>Project Code</t>
  </si>
  <si>
    <t>orangehrm</t>
  </si>
  <si>
    <t>Test Environment Setup Description</t>
  </si>
  <si>
    <t>No</t>
  </si>
  <si>
    <t>Function Name</t>
  </si>
  <si>
    <t>Sheet Name</t>
  </si>
  <si>
    <t>Description</t>
  </si>
  <si>
    <t>Pre-Condition</t>
  </si>
  <si>
    <t>Đăng nhập</t>
  </si>
  <si>
    <t>Kiểm tra chức năng đăng nhập vào hệ thống</t>
  </si>
  <si>
    <t>Admin(Người dùng) có tài khoản hợp lệ</t>
  </si>
  <si>
    <t>Thêm nhân viên</t>
  </si>
  <si>
    <t>Kiểm tra chức năng thêm nhân viên</t>
  </si>
  <si>
    <t>Người dùng có quyền Admin</t>
  </si>
  <si>
    <t>Xóa nhân viên</t>
  </si>
  <si>
    <t>Kiểm tra chức năng xóa nhân viên</t>
  </si>
  <si>
    <t>Tìm kiếm nhân viên</t>
  </si>
  <si>
    <t>Kiểm tra chức năng tìm kiếm nhân viên</t>
  </si>
  <si>
    <t>Tạo yêu cầu nghỉ phép</t>
  </si>
  <si>
    <t xml:space="preserve">Kiểm tra chức năng tạo yêu cầu nghỉ phép </t>
  </si>
  <si>
    <t>Người dùng đã đăng nhập thành công vào hệ thống</t>
  </si>
  <si>
    <t>Chỉnh sửa thông tin cá nhân</t>
  </si>
  <si>
    <t>Kiểm tra chức năng chỉnh sửa thông tin cá nhân</t>
  </si>
  <si>
    <t>TEST REPORT</t>
  </si>
  <si>
    <t>Tên dự án</t>
  </si>
  <si>
    <t>OrangeHRM</t>
  </si>
  <si>
    <t>Tổng testcase</t>
  </si>
  <si>
    <t>Chức năng</t>
  </si>
  <si>
    <t>Pass</t>
  </si>
  <si>
    <t>Fail</t>
  </si>
  <si>
    <t>Skip</t>
  </si>
  <si>
    <t>Người thực hiện</t>
  </si>
  <si>
    <t>Phạm Phương</t>
  </si>
  <si>
    <t>Ngày tạo</t>
  </si>
  <si>
    <t>STT</t>
  </si>
  <si>
    <t>Quan điểm kiểm thử</t>
  </si>
  <si>
    <t>Dữ liệu kiểm thử</t>
  </si>
  <si>
    <t>Kết quả mong đợi</t>
  </si>
  <si>
    <t>Kết quả</t>
  </si>
  <si>
    <t>LG_1</t>
  </si>
  <si>
    <t>Đăng nhập thành công khi nhập hợp lệ đầy đủ các trường</t>
  </si>
  <si>
    <t>Username: admin         Password: Admin@1234</t>
  </si>
  <si>
    <t>Hiển thị màn hình Dashboard khi đăng nhập thành công</t>
  </si>
  <si>
    <t>PASS</t>
  </si>
  <si>
    <t>LG_2</t>
  </si>
  <si>
    <t>Đăng nhập không thành công khi nhập sai mật khẩu</t>
  </si>
  <si>
    <t>Username: admin              Password: wrong123</t>
  </si>
  <si>
    <t>Hệ thống hiển thị thông báo lỗi “Invalid credentials”</t>
  </si>
  <si>
    <t>LG_3</t>
  </si>
  <si>
    <t>Đăng nhập không thành công khi nhập sai username</t>
  </si>
  <si>
    <t>Username: wrong        Password: Admin@1234</t>
  </si>
  <si>
    <t>LG_4</t>
  </si>
  <si>
    <t>Đăng nhập khi để trống trường username</t>
  </si>
  <si>
    <t>Username:                Password: Admin@1234</t>
  </si>
  <si>
    <t>Hệ thống hiển thị lỗi “Required” ngay dưới trường username</t>
  </si>
  <si>
    <t>LG_5</t>
  </si>
  <si>
    <t>Đăng nhập khi để trống trường password</t>
  </si>
  <si>
    <t xml:space="preserve">Username: admin        Password: </t>
  </si>
  <si>
    <t>Hệ thống hiển thị lỗi “Required” ngay dưới trường password</t>
  </si>
  <si>
    <t>LG_6</t>
  </si>
  <si>
    <t>Đăng nhập khi để trống cả hai trường username và password</t>
  </si>
  <si>
    <t xml:space="preserve">Username:                      Password: </t>
  </si>
  <si>
    <t>Hệ thống hiển thị lỗi “Required” ngay dưới trường username và password</t>
  </si>
  <si>
    <t>ADD_01</t>
  </si>
  <si>
    <t>Thêm nhân viên mới với  đầy đủ thông tin First Name , Middle Name và Last Name</t>
  </si>
  <si>
    <t>First Name: Trần    Middle Name: Ngọc  Last Name: Ánh Employee ID: 1001</t>
  </si>
  <si>
    <t>Hệ thống hiển thị trang hồ sơ nhân viên mới + thông báo “Successfully Saved”</t>
  </si>
  <si>
    <t>ADD_02</t>
  </si>
  <si>
    <t>Thêm nhân viên với First Name và Last Name</t>
  </si>
  <si>
    <t>ADD_03</t>
  </si>
  <si>
    <t>Thêm nhân viên không nhập Frist Name</t>
  </si>
  <si>
    <t>First Name:      Middle Name: Ngọc  Last Name: Ánh Employee ID: 1003</t>
  </si>
  <si>
    <t>Hệ thống hiển thị lỗi “Required” ngay dưới trường First Name</t>
  </si>
  <si>
    <t>ADD_04</t>
  </si>
  <si>
    <t>Thêm nhân viên không nhập Frist Name và Middle Name</t>
  </si>
  <si>
    <t>ADD_05</t>
  </si>
  <si>
    <t>Thêm nhân viên không nhập Last Name</t>
  </si>
  <si>
    <t>First Name:Trần     Middle Name:      Last Name:  Employee ID: 1005</t>
  </si>
  <si>
    <t>Hệ thống hiển thị lỗi “Required” ngay dưới trường Last Name</t>
  </si>
  <si>
    <t>ADD_06</t>
  </si>
  <si>
    <t>Thêm nhân viên không nhập Last Name và Middle Name</t>
  </si>
  <si>
    <t>First Name:Trần     Middle Name: Ngọc     Last Name:  Employee ID: 1006</t>
  </si>
  <si>
    <t>ADD_07</t>
  </si>
  <si>
    <t>Thêm nhân viên không nhập Frist Name và Last Name</t>
  </si>
  <si>
    <t>Hệ thống hiển thị lỗi “Required” ngay dưới trường First Name và Last Name</t>
  </si>
  <si>
    <t>ADD_08</t>
  </si>
  <si>
    <t>Thêm nhân viên không nhập Frist Name Middle Name và Last Name</t>
  </si>
  <si>
    <t>ADD_09</t>
  </si>
  <si>
    <t>Thêm nhân viên với Employee ID trùng</t>
  </si>
  <si>
    <t>First Name: Đỗ    Middle Name: Tuấn    Last Name: Trọng  Employee ID: 1001</t>
  </si>
  <si>
    <t>Hệ thống hiển thị lỗi: “Employee ID already exists”</t>
  </si>
  <si>
    <t>ADD_10</t>
  </si>
  <si>
    <t>Upoad ảnh khi tạo nhân viên và điền đầy đủ First Name và Last Name</t>
  </si>
  <si>
    <t>First Name: Lại   Middle Name:      Last Name: Trung  Employee ID: 1009     Ảnh &lt;=1MB</t>
  </si>
  <si>
    <t>Ảnh được upload thành công. Hệ thống hiển thị trang hồ sơ nhân viên mới + thông báo “Successfully Saved”</t>
  </si>
  <si>
    <t>ADD_11</t>
  </si>
  <si>
    <t>Upoad ảnh khi tạo nhân viên và điền đầy đủ First Name, Middle Name và Last Name</t>
  </si>
  <si>
    <t>First Name: Vũ   Middle Name:Thị      Last Name: Lan  Employee ID: 1010     Ảnh &lt;=1MB</t>
  </si>
  <si>
    <t>ADD_12</t>
  </si>
  <si>
    <t>Upoad ảnh khi tạo nhân viên và để trống trường First Name</t>
  </si>
  <si>
    <t xml:space="preserve">Hệ thống hiển thị lỗi “Required” ngay dưới trường First Name </t>
  </si>
  <si>
    <t>ADD_13</t>
  </si>
  <si>
    <t>Upoad ảnh khi tạo nhân viên và để trống trường First Name và  Middle Name</t>
  </si>
  <si>
    <t>ADD_14</t>
  </si>
  <si>
    <t>Upoad ảnh khi tạo nhân viên và để trống trường Last Name</t>
  </si>
  <si>
    <t>First Name: Vũ   Middle Name:Thị      Last Name:     Employee ID: 1010     Ảnh &lt;=1MB</t>
  </si>
  <si>
    <t>ADD_15</t>
  </si>
  <si>
    <t>Upoad ảnh khi tạo nhân viên và để trống trường Middle Name và Last Name</t>
  </si>
  <si>
    <t>First Name: Vũ   Middle Name:      Last Name:     Employee ID: 1010     Ảnh &lt;=1MB</t>
  </si>
  <si>
    <t>ADD_16</t>
  </si>
  <si>
    <t>Upoad ảnh khi tạo nhân viên và để trống trường First Name và Last Name</t>
  </si>
  <si>
    <t>ADD_17</t>
  </si>
  <si>
    <t>Upoad ảnh khi tạo nhân viên và để trống trường First Name, Middle Name và Last Name</t>
  </si>
  <si>
    <t>Tìm nhân viên</t>
  </si>
  <si>
    <t>SE_01</t>
  </si>
  <si>
    <t>Tìm nhân viên có trong danh sách theo Last Name</t>
  </si>
  <si>
    <t>Employee Name: Ánh</t>
  </si>
  <si>
    <t>Hệ thống hiển thị đúng nhân viên</t>
  </si>
  <si>
    <t>SE_02</t>
  </si>
  <si>
    <t>Tìm nhân viên có trong danh sách theo First Name</t>
  </si>
  <si>
    <t>Employee Name: Trần</t>
  </si>
  <si>
    <t>SE_03</t>
  </si>
  <si>
    <t>Tìm nhân viên có trong danh sách theo First Name và Last Name</t>
  </si>
  <si>
    <t>Employee Name: Trần Ánh</t>
  </si>
  <si>
    <t>SE_04</t>
  </si>
  <si>
    <t>Tìm nhân viên có trong danh sách theo First Name, Middle Name và Last Name</t>
  </si>
  <si>
    <t>Employee Name: Trần Ngọc Ánh</t>
  </si>
  <si>
    <t>SE_05</t>
  </si>
  <si>
    <t>Tìm nhân viên có trong danh sách theo Middle Name</t>
  </si>
  <si>
    <t>Employee Name: Ngọc</t>
  </si>
  <si>
    <t>SE_06</t>
  </si>
  <si>
    <t>Tìm nhân viên có trong danh sách theo Employee ID</t>
  </si>
  <si>
    <t xml:space="preserve">Employee ID: 1001 </t>
  </si>
  <si>
    <t>SE_07</t>
  </si>
  <si>
    <t>Tìm nhân viên có trong danh sách theo Employee Name và Employee ID</t>
  </si>
  <si>
    <t>Employee Name: Ánh      Employee ID: 1001</t>
  </si>
  <si>
    <t>SE_08</t>
  </si>
  <si>
    <t>Tìm nhân viên khộng có trong danh sách theo Last Name</t>
  </si>
  <si>
    <t>Employee Name: Ly</t>
  </si>
  <si>
    <t xml:space="preserve">Hệ thống hiển thị thông báo “
Info
No Records Found”
</t>
  </si>
  <si>
    <t>SE_09</t>
  </si>
  <si>
    <t>Tìm nhân viên khộng có trong danh sách theo First Name</t>
  </si>
  <si>
    <t>Employee Name: Đào</t>
  </si>
  <si>
    <t>SE_10</t>
  </si>
  <si>
    <t>Tìm nhân viên không có trong danh sách theo Employee ID</t>
  </si>
  <si>
    <t>Employee ID: 0007</t>
  </si>
  <si>
    <t>SE_11</t>
  </si>
  <si>
    <t>Tìm nhân viên không có trong danh sách theo First Name, Middle Name và Last Name</t>
  </si>
  <si>
    <t>Employee Name: Đào Thị Ly</t>
  </si>
  <si>
    <t>DE_01</t>
  </si>
  <si>
    <t>Xóa 1 nhân viên</t>
  </si>
  <si>
    <t>Hệ thống hiển thị thông báo "Successfully Updated" và danh sách mới</t>
  </si>
  <si>
    <t>DE_02</t>
  </si>
  <si>
    <t>Hủy bỏ thao tác xóa</t>
  </si>
  <si>
    <t>Nhân viên không bị xóa</t>
  </si>
  <si>
    <t>DE_03</t>
  </si>
  <si>
    <t>Xóa nhiều nhân viên</t>
  </si>
  <si>
    <t>Hệ thống báo "Suscess -Successfully Updated"  và danh sách  mới</t>
  </si>
  <si>
    <t>Đăng ký nghỉ phép</t>
  </si>
  <si>
    <t>AP_1</t>
  </si>
  <si>
    <t>Đăng kí nghỉ phép thành công khi nhập hợp lệ đầy đủ các trường</t>
  </si>
  <si>
    <t>Leave Type: Nghỉ phép năm 
From Date:2026-05-01 
To Date: 2026-05-02 
Partial Days: All Days 
Duration: Half Day - Morning</t>
  </si>
  <si>
    <t xml:space="preserve">Hệ thống hiển thị thông báo "Successfully Saved" </t>
  </si>
  <si>
    <t>AP_2</t>
  </si>
  <si>
    <t>Đăng kí nghỉ phép với quá số ngày nghỉ</t>
  </si>
  <si>
    <t>Leave Type: Nghỉ phép năm 
From Date:2026-06-01 
To Date: 2026-06-30 
Partial Days: All Days 
Duration: Half Day - Morning</t>
  </si>
  <si>
    <t>Hệ thống hiển thị thông báo "Balance not sufficient và Error - Leave Balance Exceeded"</t>
  </si>
  <si>
    <t>AP_3</t>
  </si>
  <si>
    <t>Đăng kí nghỉ phép khi để trống Leave Type</t>
  </si>
  <si>
    <t>Leave Type:  
From Date:2026-05-10 
To Date: 2026-05-10 
Partial Days: All Days 
Duration: Half Day - Morning</t>
  </si>
  <si>
    <t>Hệ thống hiển thị lỗi “Required” ngay dưới trường Leave Type</t>
  </si>
  <si>
    <t>AP_4</t>
  </si>
  <si>
    <t>Đăng kí nghỉ phép với ngày kết thúc trước ngày bắt đầu</t>
  </si>
  <si>
    <t>Leave Type: Nghỉ phép năm 
From Date:2026-05-10 
To Date: 2026-05-05 
Partial Days: All Days 
Duration: Half Day - Morning</t>
  </si>
  <si>
    <t>Hệ thống hiển thị lỗi “To date should be after from date” ngay dưới trường To Date</t>
  </si>
  <si>
    <t>AP_5</t>
  </si>
  <si>
    <t>Đăng kí nghỉ phép khi để trống From Date và To Date</t>
  </si>
  <si>
    <t xml:space="preserve">Leave Type: Nghỉ phép năm 
From Date:
To Date:  
Partial Days:  
Duration: </t>
  </si>
  <si>
    <t>Hệ thống hiển thị lỗi “Required” ngay dưới trường From Date và To Date</t>
  </si>
  <si>
    <t>AP_6</t>
  </si>
  <si>
    <t>Đăng kí nghỉ phép khi để trống Leave Type, From Date và To Date</t>
  </si>
  <si>
    <t xml:space="preserve">Leave Type: 
From Date:
To Date:  
Partial Days:  
Duration: </t>
  </si>
  <si>
    <t>Hệ thống hiển thị lỗi “Required” ngay dưới trường Leave Type, From Date và To Date</t>
  </si>
  <si>
    <t>AP_7</t>
  </si>
  <si>
    <t>Đăng kí nghỉ phép khi để trống Leave Type và ngày kết thúc trước ngày bắt đầu</t>
  </si>
  <si>
    <t>Leave Type:  
From Date:2026-05-05
To Date: 2026-05-01 
Partial Days: 
Duration: Full Day</t>
  </si>
  <si>
    <t>Hệ thống hiển thị lỗi “Required” ngay dưới trường Leave Type và  “To date should be after from date” ngay dưới trường To Date</t>
  </si>
  <si>
    <t>First Name: Vũ    Middle Name:       Last Name: Tam  Employee ID: 1002</t>
  </si>
  <si>
    <t>First Name:       Middle Name:       Last Name: Ánh Employee ID: 1004</t>
  </si>
  <si>
    <t>First Name:      Middle Name: Ngọc     Last Name:   Employee ID: 1007</t>
  </si>
  <si>
    <t>First Name:      Middle Name:       Last Name:   Employee ID: 1008</t>
  </si>
  <si>
    <t>First Name:      Middle Name:Thị      Last Name: Lan  Employee ID: 1010     Ảnh &lt;=1MB</t>
  </si>
  <si>
    <t>First Name:      Middle Name:       Last Name: Lan  Employee ID: 1010     Ảnh &lt;=1MB</t>
  </si>
  <si>
    <t>First Name:      Middle Name:Thị      Last Name:     Employee ID: 1010     Ảnh &lt;=1MB</t>
  </si>
  <si>
    <t>First Name:      Middle Name:       Last Name:     Employee ID: 1010     Ảnh &lt;=1MB</t>
  </si>
  <si>
    <t>UP_1</t>
  </si>
  <si>
    <t>Cập nhật License Expiry Date</t>
  </si>
  <si>
    <t>UP_2</t>
  </si>
  <si>
    <t>Cập nhật License Expiry Date với ngày  &lt; hiện tại</t>
  </si>
  <si>
    <t>UP_3</t>
  </si>
  <si>
    <t>Cập nhật Nationality</t>
  </si>
  <si>
    <t>UP_4</t>
  </si>
  <si>
    <t>Cập nhật Marital Status</t>
  </si>
  <si>
    <t>UP_5</t>
  </si>
  <si>
    <t>Cập nhật Gender</t>
  </si>
  <si>
    <t>UP_6</t>
  </si>
  <si>
    <t>Cập nhật đầy đủ thông tin</t>
  </si>
  <si>
    <t>License Expiry Date: 2028-05-20</t>
  </si>
  <si>
    <t>License Expiry Date: 2020-01-01</t>
  </si>
  <si>
    <t>Nationality: Vietnam</t>
  </si>
  <si>
    <t>Marital Status: Single</t>
  </si>
  <si>
    <t>Gender: Male</t>
  </si>
  <si>
    <t xml:space="preserve">Nationality: Vietnam           Marital Status: Single         Gender: Male                     License Expiry Date: 2028-05-20    </t>
  </si>
  <si>
    <t xml:space="preserve">Hệ thống báo "Suscess -Successfully Updated" </t>
  </si>
  <si>
    <t>Hệ thống hiển thị lỗi đã quá hạn</t>
  </si>
  <si>
    <t>UP_7</t>
  </si>
  <si>
    <t>Cập nhật Date of Birth</t>
  </si>
  <si>
    <t>Date of birth: 2000-05-21</t>
  </si>
  <si>
    <t>FAIL</t>
  </si>
  <si>
    <t>Cập nhật thông tin cá nhân</t>
  </si>
  <si>
    <t>Full Name: Vũ Thị Lan Employee ID:1010</t>
  </si>
  <si>
    <t>Full Name: Vũ Thị Lan Employee ID:1010                Full Name: Lại Trung      Employee ID: 1009         Full Name: Vũ Ngọc Tam       Employee ID: 1002</t>
  </si>
  <si>
    <t>Full Name: Trần Ngọc Ánh Employee ID:1001</t>
  </si>
  <si>
    <t>orangeHRM</t>
  </si>
  <si>
    <t>Người tạo</t>
  </si>
  <si>
    <t xml:space="preserve">Ngày tạo </t>
  </si>
  <si>
    <t>Windows 11(Chrome)</t>
  </si>
  <si>
    <t>SKIP</t>
  </si>
  <si>
    <t>BÁO CÁO KIỂM THỬ HỆ THỐNG QUẢN LÝ NHÂN SỰ ORANGEHRM</t>
  </si>
  <si>
    <t>Độ chính xác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</si>
</sst>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name val="Calibri"/>
      <family val="2"/>
    </font>
    <font>
      <b/>
      <sz val="12"/>
      <color rgb="FF993300"/>
      <name val="Times New Roman"/>
      <family val="1"/>
    </font>
    <font>
      <i/>
      <sz val="12"/>
      <color rgb="FF006411"/>
      <name val="Times New Roman"/>
      <family val="1"/>
    </font>
    <font>
      <b/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name val="Times New Roman"/>
      <family val="1"/>
    </font>
    <font>
      <sz val="14"/>
      <color theme="1"/>
      <name val="Times New Roman"/>
      <family val="1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/>
      </patternFill>
    </fill>
  </fills>
  <borders count="2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0" fontId="13" fillId="5" borderId="0" applyNumberFormat="0" applyBorder="0" applyAlignment="0" applyProtection="0"/>
  </cellStyleXfs>
  <cellXfs count="89">
    <xf numFmtId="0" fontId="0" fillId="0" borderId="0" xfId="0"/>
    <xf numFmtId="0" fontId="1" fillId="0" borderId="0" xfId="0" applyFont="1"/>
    <xf numFmtId="1" fontId="6" fillId="2" borderId="11" xfId="0" applyNumberFormat="1" applyFont="1" applyFill="1" applyBorder="1" applyAlignment="1">
      <alignment horizontal="center"/>
    </xf>
    <xf numFmtId="0" fontId="6" fillId="2" borderId="12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 wrapText="1"/>
    </xf>
    <xf numFmtId="1" fontId="1" fillId="3" borderId="15" xfId="0" applyNumberFormat="1" applyFont="1" applyFill="1" applyBorder="1" applyAlignment="1">
      <alignment horizontal="right"/>
    </xf>
    <xf numFmtId="49" fontId="1" fillId="3" borderId="16" xfId="0" applyNumberFormat="1" applyFont="1" applyFill="1" applyBorder="1" applyAlignment="1">
      <alignment wrapText="1"/>
    </xf>
    <xf numFmtId="0" fontId="1" fillId="3" borderId="16" xfId="0" applyFont="1" applyFill="1" applyBorder="1"/>
    <xf numFmtId="0" fontId="1" fillId="3" borderId="17" xfId="0" applyFont="1" applyFill="1" applyBorder="1" applyAlignment="1">
      <alignment wrapText="1"/>
    </xf>
    <xf numFmtId="0" fontId="1" fillId="0" borderId="0" xfId="0" applyFont="1" applyAlignment="1">
      <alignment wrapText="1"/>
    </xf>
    <xf numFmtId="0" fontId="1" fillId="0" borderId="18" xfId="0" applyFont="1" applyBorder="1"/>
    <xf numFmtId="0" fontId="1" fillId="0" borderId="18" xfId="0" applyFont="1" applyBorder="1" applyAlignment="1">
      <alignment horizontal="left" vertical="center" wrapText="1"/>
    </xf>
    <xf numFmtId="0" fontId="1" fillId="0" borderId="18" xfId="0" applyFont="1" applyBorder="1" applyAlignment="1">
      <alignment wrapText="1"/>
    </xf>
    <xf numFmtId="0" fontId="1" fillId="0" borderId="18" xfId="0" applyFont="1" applyBorder="1" applyAlignment="1">
      <alignment horizontal="center" wrapText="1"/>
    </xf>
    <xf numFmtId="14" fontId="1" fillId="0" borderId="18" xfId="0" applyNumberFormat="1" applyFont="1" applyBorder="1" applyAlignment="1">
      <alignment horizontal="left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18" xfId="0" applyFont="1" applyBorder="1"/>
    <xf numFmtId="0" fontId="1" fillId="0" borderId="18" xfId="0" applyFont="1" applyBorder="1" applyAlignment="1">
      <alignment horizontal="center" vertical="center"/>
    </xf>
    <xf numFmtId="0" fontId="1" fillId="0" borderId="18" xfId="0" applyFont="1" applyBorder="1" applyAlignment="1">
      <alignment vertical="center" wrapText="1"/>
    </xf>
    <xf numFmtId="0" fontId="1" fillId="0" borderId="18" xfId="0" applyFont="1" applyBorder="1" applyAlignment="1">
      <alignment horizontal="left" wrapText="1"/>
    </xf>
    <xf numFmtId="0" fontId="2" fillId="0" borderId="1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8" xfId="0" applyFont="1" applyBorder="1" applyAlignment="1">
      <alignment horizontal="center" vertical="center" wrapText="1"/>
    </xf>
    <xf numFmtId="9" fontId="1" fillId="0" borderId="18" xfId="0" applyNumberFormat="1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1" fillId="0" borderId="22" xfId="0" applyFont="1" applyBorder="1" applyAlignment="1">
      <alignment horizontal="left" vertical="center" wrapText="1"/>
    </xf>
    <xf numFmtId="0" fontId="2" fillId="0" borderId="22" xfId="0" applyFont="1" applyBorder="1" applyAlignment="1">
      <alignment horizontal="center" vertical="center" wrapText="1"/>
    </xf>
    <xf numFmtId="0" fontId="9" fillId="0" borderId="22" xfId="0" applyFont="1" applyBorder="1" applyAlignment="1">
      <alignment vertical="center" wrapText="1"/>
    </xf>
    <xf numFmtId="0" fontId="9" fillId="0" borderId="2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 wrapText="1"/>
    </xf>
    <xf numFmtId="0" fontId="1" fillId="0" borderId="0" xfId="0" applyFont="1" applyAlignment="1">
      <alignment vertical="center"/>
    </xf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 wrapText="1"/>
    </xf>
    <xf numFmtId="0" fontId="3" fillId="0" borderId="22" xfId="0" applyFont="1" applyBorder="1"/>
    <xf numFmtId="0" fontId="2" fillId="2" borderId="7" xfId="0" applyFont="1" applyFill="1" applyBorder="1" applyAlignment="1">
      <alignment horizontal="center"/>
    </xf>
    <xf numFmtId="0" fontId="3" fillId="0" borderId="9" xfId="0" applyFont="1" applyBorder="1"/>
    <xf numFmtId="0" fontId="3" fillId="0" borderId="10" xfId="0" applyFont="1" applyBorder="1"/>
    <xf numFmtId="0" fontId="1" fillId="0" borderId="7" xfId="0" applyFont="1" applyBorder="1" applyAlignment="1">
      <alignment horizontal="center"/>
    </xf>
    <xf numFmtId="0" fontId="1" fillId="0" borderId="19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1" fontId="4" fillId="3" borderId="7" xfId="0" applyNumberFormat="1" applyFont="1" applyFill="1" applyBorder="1" applyAlignment="1">
      <alignment wrapText="1"/>
    </xf>
    <xf numFmtId="0" fontId="1" fillId="3" borderId="7" xfId="0" applyFont="1" applyFill="1" applyBorder="1" applyAlignment="1">
      <alignment vertical="top"/>
    </xf>
    <xf numFmtId="0" fontId="2" fillId="2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1" fontId="4" fillId="3" borderId="7" xfId="0" applyNumberFormat="1" applyFont="1" applyFill="1" applyBorder="1"/>
    <xf numFmtId="0" fontId="3" fillId="0" borderId="8" xfId="0" applyFont="1" applyBorder="1"/>
    <xf numFmtId="0" fontId="5" fillId="3" borderId="7" xfId="0" applyFont="1" applyFill="1" applyBorder="1"/>
    <xf numFmtId="0" fontId="1" fillId="0" borderId="7" xfId="0" applyFont="1" applyBorder="1" applyAlignment="1">
      <alignment horizontal="left" vertical="center" wrapText="1"/>
    </xf>
    <xf numFmtId="0" fontId="3" fillId="0" borderId="20" xfId="0" applyFont="1" applyBorder="1"/>
    <xf numFmtId="0" fontId="3" fillId="0" borderId="21" xfId="0" applyFont="1" applyBorder="1"/>
    <xf numFmtId="0" fontId="2" fillId="0" borderId="7" xfId="0" applyFont="1" applyBorder="1" applyAlignment="1">
      <alignment horizontal="center"/>
    </xf>
    <xf numFmtId="0" fontId="1" fillId="0" borderId="7" xfId="0" applyFont="1" applyBorder="1" applyAlignment="1">
      <alignment horizontal="left" vertical="top" wrapText="1"/>
    </xf>
    <xf numFmtId="0" fontId="3" fillId="0" borderId="20" xfId="0" applyFont="1" applyBorder="1" applyAlignment="1">
      <alignment horizontal="center" wrapText="1"/>
    </xf>
    <xf numFmtId="0" fontId="3" fillId="0" borderId="21" xfId="0" applyFont="1" applyBorder="1" applyAlignment="1">
      <alignment horizontal="center" wrapText="1"/>
    </xf>
    <xf numFmtId="0" fontId="1" fillId="0" borderId="9" xfId="0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3" fillId="0" borderId="20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/>
    <xf numFmtId="0" fontId="2" fillId="4" borderId="7" xfId="0" applyFont="1" applyFill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49" fontId="1" fillId="3" borderId="22" xfId="0" applyNumberFormat="1" applyFont="1" applyFill="1" applyBorder="1" applyAlignment="1">
      <alignment wrapText="1"/>
    </xf>
    <xf numFmtId="0" fontId="1" fillId="0" borderId="22" xfId="0" applyFont="1" applyBorder="1"/>
    <xf numFmtId="0" fontId="1" fillId="0" borderId="22" xfId="0" applyFont="1" applyBorder="1" applyAlignment="1">
      <alignment horizontal="center"/>
    </xf>
    <xf numFmtId="0" fontId="1" fillId="0" borderId="22" xfId="0" applyFont="1" applyBorder="1" applyAlignment="1">
      <alignment horizontal="center" vertical="center"/>
    </xf>
    <xf numFmtId="14" fontId="1" fillId="0" borderId="22" xfId="0" applyNumberFormat="1" applyFont="1" applyBorder="1" applyAlignment="1">
      <alignment horizontal="left" vertical="center"/>
    </xf>
    <xf numFmtId="0" fontId="1" fillId="0" borderId="22" xfId="0" applyFont="1" applyBorder="1" applyAlignment="1">
      <alignment vertical="center"/>
    </xf>
    <xf numFmtId="0" fontId="13" fillId="5" borderId="22" xfId="2" applyBorder="1" applyAlignment="1">
      <alignment horizontal="center" vertical="center"/>
    </xf>
    <xf numFmtId="0" fontId="12" fillId="5" borderId="22" xfId="2" applyFont="1" applyBorder="1" applyAlignment="1">
      <alignment horizontal="center" vertical="center"/>
    </xf>
    <xf numFmtId="10" fontId="1" fillId="0" borderId="22" xfId="1" applyNumberFormat="1" applyFont="1" applyBorder="1" applyAlignment="1">
      <alignment horizontal="center" vertical="center"/>
    </xf>
  </cellXfs>
  <cellStyles count="3">
    <cellStyle name="Accent1" xfId="2" builtinId="29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BE047-33B8-445B-9CE7-22FD8300C673}">
  <dimension ref="B3:H12"/>
  <sheetViews>
    <sheetView showGridLines="0" tabSelected="1" workbookViewId="0">
      <selection activeCell="J8" sqref="J8"/>
    </sheetView>
  </sheetViews>
  <sheetFormatPr defaultRowHeight="14.4" x14ac:dyDescent="0.3"/>
  <cols>
    <col min="2" max="2" width="14.44140625" customWidth="1"/>
    <col min="3" max="3" width="27.109375" customWidth="1"/>
    <col min="4" max="4" width="13.33203125" customWidth="1"/>
    <col min="5" max="5" width="13.5546875" customWidth="1"/>
  </cols>
  <sheetData>
    <row r="3" spans="2:8" x14ac:dyDescent="0.3">
      <c r="B3" s="87" t="s">
        <v>231</v>
      </c>
      <c r="C3" s="86"/>
      <c r="D3" s="86"/>
      <c r="E3" s="86"/>
      <c r="F3" s="86"/>
      <c r="G3" s="86"/>
      <c r="H3" s="86"/>
    </row>
    <row r="4" spans="2:8" x14ac:dyDescent="0.3">
      <c r="B4" s="86"/>
      <c r="C4" s="86"/>
      <c r="D4" s="86"/>
      <c r="E4" s="86"/>
      <c r="F4" s="86"/>
      <c r="G4" s="86"/>
      <c r="H4" s="86"/>
    </row>
    <row r="5" spans="2:8" ht="15.6" x14ac:dyDescent="0.3">
      <c r="B5" s="81" t="s">
        <v>27</v>
      </c>
      <c r="C5" s="81" t="s">
        <v>226</v>
      </c>
      <c r="D5" s="81" t="s">
        <v>227</v>
      </c>
      <c r="E5" s="81" t="s">
        <v>35</v>
      </c>
      <c r="F5" s="82" t="s">
        <v>229</v>
      </c>
      <c r="G5" s="82"/>
      <c r="H5" s="82"/>
    </row>
    <row r="6" spans="2:8" ht="15.6" x14ac:dyDescent="0.3">
      <c r="B6" s="83" t="s">
        <v>30</v>
      </c>
      <c r="C6" s="83"/>
      <c r="D6" s="81" t="s">
        <v>228</v>
      </c>
      <c r="E6" s="84">
        <v>46135</v>
      </c>
      <c r="F6" s="35" t="s">
        <v>46</v>
      </c>
      <c r="G6" s="35" t="s">
        <v>221</v>
      </c>
      <c r="H6" s="35" t="s">
        <v>230</v>
      </c>
    </row>
    <row r="7" spans="2:8" ht="15.6" x14ac:dyDescent="0.3">
      <c r="B7" s="35">
        <v>1</v>
      </c>
      <c r="C7" s="80" t="s">
        <v>11</v>
      </c>
      <c r="D7" s="85" t="s">
        <v>29</v>
      </c>
      <c r="E7" s="83">
        <f>SUM(
'Đăng nhập'!D4:D6,
'Thêm nhân viên'!D4:D6,
'Tìm nhân viên'!D4:D6,
'Xóa nhân viên '!D4:D6,
'Đăng ký nghỉ'!E5:E7,
'Cập nhật thông tin cá nhân'!D4:D6
)</f>
        <v>51</v>
      </c>
      <c r="F7" s="83">
        <f>SUM('Đăng nhập'!E5,'Thêm nhân viên'!E5,'Tìm nhân viên'!E5,'Xóa nhân viên '!E5,'Đăng ký nghỉ'!F6,'Cập nhật thông tin cá nhân'!E5)</f>
        <v>50</v>
      </c>
      <c r="G7" s="83">
        <f>SUM('Đăng nhập'!F5,'Thêm nhân viên'!F5,'Tìm nhân viên'!F5,'Xóa nhân viên '!F5,'Đăng ký nghỉ'!G6,'Cập nhật thông tin cá nhân'!F5)</f>
        <v>1</v>
      </c>
      <c r="H7" s="83">
        <f>SUM('Đăng nhập'!G5,'Thêm nhân viên'!G5,'Tìm nhân viên'!G5,'Xóa nhân viên '!G5,'Đăng ký nghỉ'!H6,'Cập nhật thông tin cá nhân'!G5)</f>
        <v>0</v>
      </c>
    </row>
    <row r="8" spans="2:8" ht="15.6" x14ac:dyDescent="0.3">
      <c r="B8" s="35">
        <v>2</v>
      </c>
      <c r="C8" s="80" t="s">
        <v>14</v>
      </c>
      <c r="D8" s="85"/>
      <c r="E8" s="83"/>
      <c r="F8" s="83"/>
      <c r="G8" s="83"/>
      <c r="H8" s="83"/>
    </row>
    <row r="9" spans="2:8" ht="15.6" x14ac:dyDescent="0.3">
      <c r="B9" s="35">
        <v>3</v>
      </c>
      <c r="C9" s="80" t="s">
        <v>17</v>
      </c>
      <c r="D9" s="85"/>
      <c r="E9" s="83"/>
      <c r="F9" s="83"/>
      <c r="G9" s="83"/>
      <c r="H9" s="83"/>
    </row>
    <row r="10" spans="2:8" ht="15.6" x14ac:dyDescent="0.3">
      <c r="B10" s="35">
        <v>4</v>
      </c>
      <c r="C10" s="80" t="s">
        <v>19</v>
      </c>
      <c r="D10" s="83" t="s">
        <v>232</v>
      </c>
      <c r="E10" s="83"/>
      <c r="F10" s="88">
        <f>F7/E7</f>
        <v>0.98039215686274506</v>
      </c>
      <c r="G10" s="88">
        <f>G7/E7</f>
        <v>1.9607843137254902E-2</v>
      </c>
      <c r="H10" s="88">
        <f>H7/E7</f>
        <v>0</v>
      </c>
    </row>
    <row r="11" spans="2:8" ht="15.6" x14ac:dyDescent="0.3">
      <c r="B11" s="35">
        <v>5</v>
      </c>
      <c r="C11" s="80" t="s">
        <v>161</v>
      </c>
      <c r="D11" s="83"/>
      <c r="E11" s="83"/>
      <c r="F11" s="88"/>
      <c r="G11" s="88"/>
      <c r="H11" s="88"/>
    </row>
    <row r="12" spans="2:8" ht="15.6" x14ac:dyDescent="0.3">
      <c r="B12" s="35">
        <v>6</v>
      </c>
      <c r="C12" s="80" t="s">
        <v>222</v>
      </c>
      <c r="D12" s="83"/>
      <c r="E12" s="83"/>
      <c r="F12" s="88"/>
      <c r="G12" s="88"/>
      <c r="H12" s="88"/>
    </row>
  </sheetData>
  <mergeCells count="12">
    <mergeCell ref="D10:E12"/>
    <mergeCell ref="H10:H12"/>
    <mergeCell ref="G10:G12"/>
    <mergeCell ref="F10:F12"/>
    <mergeCell ref="B3:H4"/>
    <mergeCell ref="B6:C6"/>
    <mergeCell ref="F5:H5"/>
    <mergeCell ref="D7:D9"/>
    <mergeCell ref="E7:E9"/>
    <mergeCell ref="H7:H9"/>
    <mergeCell ref="G7:G9"/>
    <mergeCell ref="F7:F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6"/>
  <sheetViews>
    <sheetView showGridLines="0" workbookViewId="0">
      <selection activeCell="C11" sqref="C11:C16"/>
    </sheetView>
  </sheetViews>
  <sheetFormatPr defaultColWidth="14.44140625" defaultRowHeight="15" customHeight="1" x14ac:dyDescent="0.3"/>
  <cols>
    <col min="3" max="3" width="30.44140625" customWidth="1"/>
    <col min="4" max="4" width="24.5546875" customWidth="1"/>
    <col min="5" max="5" width="56.33203125" customWidth="1"/>
    <col min="6" max="6" width="40.8867187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52" t="s">
        <v>0</v>
      </c>
      <c r="C2" s="53"/>
      <c r="D2" s="53"/>
      <c r="E2" s="53"/>
      <c r="F2" s="5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55"/>
      <c r="C3" s="56"/>
      <c r="D3" s="56"/>
      <c r="E3" s="56"/>
      <c r="F3" s="5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58" t="s">
        <v>1</v>
      </c>
      <c r="C4" s="59"/>
      <c r="D4" s="60" t="s">
        <v>2</v>
      </c>
      <c r="E4" s="42"/>
      <c r="F4" s="43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58" t="s">
        <v>3</v>
      </c>
      <c r="C5" s="59"/>
      <c r="D5" s="60" t="s">
        <v>4</v>
      </c>
      <c r="E5" s="42"/>
      <c r="F5" s="43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50" t="s">
        <v>5</v>
      </c>
      <c r="C6" s="43"/>
      <c r="D6" s="51"/>
      <c r="E6" s="42"/>
      <c r="F6" s="43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2" t="s">
        <v>6</v>
      </c>
      <c r="C10" s="3" t="s">
        <v>7</v>
      </c>
      <c r="D10" s="3" t="s">
        <v>8</v>
      </c>
      <c r="E10" s="4" t="s">
        <v>9</v>
      </c>
      <c r="F10" s="5" t="s">
        <v>10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6">
        <v>1</v>
      </c>
      <c r="C11" s="7" t="s">
        <v>11</v>
      </c>
      <c r="D11" s="8"/>
      <c r="E11" s="8" t="s">
        <v>12</v>
      </c>
      <c r="F11" s="9" t="s">
        <v>13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6">
        <v>2</v>
      </c>
      <c r="C12" s="7" t="s">
        <v>14</v>
      </c>
      <c r="D12" s="8"/>
      <c r="E12" s="8" t="s">
        <v>15</v>
      </c>
      <c r="F12" s="9" t="s">
        <v>16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6">
        <v>3</v>
      </c>
      <c r="C13" s="7" t="s">
        <v>17</v>
      </c>
      <c r="D13" s="8"/>
      <c r="E13" s="8" t="s">
        <v>18</v>
      </c>
      <c r="F13" s="9" t="s">
        <v>16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6">
        <v>4</v>
      </c>
      <c r="C14" s="7" t="s">
        <v>19</v>
      </c>
      <c r="D14" s="8"/>
      <c r="E14" s="8" t="s">
        <v>20</v>
      </c>
      <c r="F14" s="9" t="s">
        <v>16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6">
        <v>5</v>
      </c>
      <c r="C15" s="7" t="s">
        <v>21</v>
      </c>
      <c r="D15" s="8"/>
      <c r="E15" s="8" t="s">
        <v>22</v>
      </c>
      <c r="F15" s="9" t="s">
        <v>23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"/>
      <c r="B16" s="6">
        <v>6</v>
      </c>
      <c r="C16" s="7" t="s">
        <v>24</v>
      </c>
      <c r="D16" s="8"/>
      <c r="E16" s="8" t="s">
        <v>25</v>
      </c>
      <c r="F16" s="9" t="s">
        <v>23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</sheetData>
  <mergeCells count="7">
    <mergeCell ref="B6:C6"/>
    <mergeCell ref="D6:F6"/>
    <mergeCell ref="B2:F3"/>
    <mergeCell ref="B4:C4"/>
    <mergeCell ref="D4:F4"/>
    <mergeCell ref="B5:C5"/>
    <mergeCell ref="D5:F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zoomScale="70" zoomScaleNormal="70" workbookViewId="0">
      <selection activeCell="D4" sqref="D4:D6"/>
    </sheetView>
  </sheetViews>
  <sheetFormatPr defaultColWidth="14.44140625" defaultRowHeight="15" customHeight="1" x14ac:dyDescent="0.3"/>
  <cols>
    <col min="1" max="1" width="8.88671875" customWidth="1"/>
    <col min="2" max="2" width="20.33203125" customWidth="1"/>
    <col min="3" max="3" width="30.6640625" customWidth="1"/>
    <col min="4" max="4" width="23.44140625" customWidth="1"/>
    <col min="5" max="8" width="8.88671875" customWidth="1"/>
    <col min="9" max="26" width="8.6640625" customWidth="1"/>
  </cols>
  <sheetData>
    <row r="1" spans="1:26" ht="15.6" x14ac:dyDescent="0.3">
      <c r="A1" s="1"/>
      <c r="B1" s="1"/>
      <c r="C1" s="10"/>
      <c r="D1" s="10"/>
      <c r="E1" s="10"/>
      <c r="F1" s="10"/>
      <c r="G1" s="10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41" t="s">
        <v>26</v>
      </c>
      <c r="C2" s="42"/>
      <c r="D2" s="42"/>
      <c r="E2" s="42"/>
      <c r="F2" s="42"/>
      <c r="G2" s="43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1" t="s">
        <v>27</v>
      </c>
      <c r="C3" s="12" t="s">
        <v>28</v>
      </c>
      <c r="D3" s="14" t="s">
        <v>29</v>
      </c>
      <c r="E3" s="44"/>
      <c r="F3" s="42"/>
      <c r="G3" s="4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1" t="s">
        <v>30</v>
      </c>
      <c r="C4" s="12" t="s">
        <v>11</v>
      </c>
      <c r="D4" s="45">
        <f>COUNTA(H14:H26)</f>
        <v>6</v>
      </c>
      <c r="E4" s="14" t="s">
        <v>31</v>
      </c>
      <c r="F4" s="13" t="s">
        <v>32</v>
      </c>
      <c r="G4" s="13" t="s">
        <v>33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1" t="s">
        <v>34</v>
      </c>
      <c r="C5" s="12" t="s">
        <v>35</v>
      </c>
      <c r="D5" s="62"/>
      <c r="E5" s="27">
        <f>COUNTIF(H13:H50, "PASS")</f>
        <v>6</v>
      </c>
      <c r="F5" s="27">
        <f>COUNTIF(H13:H50, "FAIL")</f>
        <v>0</v>
      </c>
      <c r="G5" s="27">
        <f>COUNTIF(H13:H50, "SKIP")</f>
        <v>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1" t="s">
        <v>36</v>
      </c>
      <c r="C6" s="15">
        <v>46133</v>
      </c>
      <c r="D6" s="63"/>
      <c r="E6" s="28">
        <f>E5/D4</f>
        <v>1</v>
      </c>
      <c r="F6" s="28">
        <f>F5/D4</f>
        <v>0</v>
      </c>
      <c r="G6" s="28">
        <f>G5/D4</f>
        <v>0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0"/>
      <c r="D7" s="10"/>
      <c r="E7" s="10"/>
      <c r="F7" s="10"/>
      <c r="G7" s="10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0"/>
      <c r="D8" s="10"/>
      <c r="E8" s="10"/>
      <c r="F8" s="10"/>
      <c r="G8" s="10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0"/>
      <c r="D9" s="10"/>
      <c r="E9" s="10"/>
      <c r="F9" s="10"/>
      <c r="G9" s="10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0"/>
      <c r="D10" s="10"/>
      <c r="E10" s="10"/>
      <c r="F10" s="10"/>
      <c r="G10" s="10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0"/>
      <c r="D11" s="10"/>
      <c r="E11" s="10"/>
      <c r="F11" s="10"/>
      <c r="G11" s="10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6" x14ac:dyDescent="0.3">
      <c r="A12" s="1"/>
      <c r="B12" s="1"/>
      <c r="C12" s="10"/>
      <c r="D12" s="10"/>
      <c r="E12" s="10"/>
      <c r="F12" s="10"/>
      <c r="G12" s="10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6" x14ac:dyDescent="0.3">
      <c r="A13" s="1"/>
      <c r="B13" s="16" t="s">
        <v>37</v>
      </c>
      <c r="C13" s="16" t="s">
        <v>38</v>
      </c>
      <c r="D13" s="16" t="s">
        <v>39</v>
      </c>
      <c r="E13" s="64" t="s">
        <v>40</v>
      </c>
      <c r="F13" s="42"/>
      <c r="G13" s="43"/>
      <c r="H13" s="17" t="s">
        <v>41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42.75" customHeight="1" x14ac:dyDescent="0.3">
      <c r="A14" s="1"/>
      <c r="B14" s="18" t="s">
        <v>42</v>
      </c>
      <c r="C14" s="19" t="s">
        <v>43</v>
      </c>
      <c r="D14" s="12" t="s">
        <v>44</v>
      </c>
      <c r="E14" s="61" t="s">
        <v>45</v>
      </c>
      <c r="F14" s="42"/>
      <c r="G14" s="43"/>
      <c r="H14" s="18" t="s">
        <v>46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1.2" x14ac:dyDescent="0.3">
      <c r="A15" s="1"/>
      <c r="B15" s="18" t="s">
        <v>47</v>
      </c>
      <c r="C15" s="19" t="s">
        <v>48</v>
      </c>
      <c r="D15" s="12" t="s">
        <v>49</v>
      </c>
      <c r="E15" s="61" t="s">
        <v>50</v>
      </c>
      <c r="F15" s="42"/>
      <c r="G15" s="43"/>
      <c r="H15" s="18" t="s">
        <v>46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46.8" x14ac:dyDescent="0.3">
      <c r="A16" s="1"/>
      <c r="B16" s="18" t="s">
        <v>51</v>
      </c>
      <c r="C16" s="19" t="s">
        <v>52</v>
      </c>
      <c r="D16" s="12" t="s">
        <v>53</v>
      </c>
      <c r="E16" s="61" t="s">
        <v>50</v>
      </c>
      <c r="F16" s="42"/>
      <c r="G16" s="43"/>
      <c r="H16" s="18" t="s">
        <v>46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46.8" x14ac:dyDescent="0.3">
      <c r="A17" s="1"/>
      <c r="B17" s="18" t="s">
        <v>54</v>
      </c>
      <c r="C17" s="19" t="s">
        <v>55</v>
      </c>
      <c r="D17" s="12" t="s">
        <v>56</v>
      </c>
      <c r="E17" s="61" t="s">
        <v>57</v>
      </c>
      <c r="F17" s="42"/>
      <c r="G17" s="43"/>
      <c r="H17" s="18" t="s">
        <v>46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31.2" x14ac:dyDescent="0.3">
      <c r="A18" s="1"/>
      <c r="B18" s="18" t="s">
        <v>58</v>
      </c>
      <c r="C18" s="19" t="s">
        <v>59</v>
      </c>
      <c r="D18" s="12" t="s">
        <v>60</v>
      </c>
      <c r="E18" s="61" t="s">
        <v>61</v>
      </c>
      <c r="F18" s="42"/>
      <c r="G18" s="43"/>
      <c r="H18" s="18" t="s">
        <v>46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1.2" x14ac:dyDescent="0.3">
      <c r="A19" s="1"/>
      <c r="B19" s="18" t="s">
        <v>62</v>
      </c>
      <c r="C19" s="19" t="s">
        <v>63</v>
      </c>
      <c r="D19" s="12" t="s">
        <v>64</v>
      </c>
      <c r="E19" s="61" t="s">
        <v>65</v>
      </c>
      <c r="F19" s="42"/>
      <c r="G19" s="43"/>
      <c r="H19" s="18" t="s">
        <v>46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6" x14ac:dyDescent="0.3">
      <c r="A20" s="1"/>
      <c r="B20" s="1"/>
      <c r="C20" s="10"/>
      <c r="D20" s="10"/>
      <c r="E20" s="10"/>
      <c r="F20" s="10"/>
      <c r="G20" s="10"/>
      <c r="H20" s="2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6" x14ac:dyDescent="0.3">
      <c r="A21" s="1"/>
      <c r="B21" s="1"/>
      <c r="C21" s="10"/>
      <c r="D21" s="10"/>
      <c r="E21" s="10"/>
      <c r="F21" s="10"/>
      <c r="G21" s="10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6" x14ac:dyDescent="0.3">
      <c r="A22" s="1"/>
      <c r="B22" s="1"/>
      <c r="C22" s="10"/>
      <c r="D22" s="10"/>
      <c r="E22" s="10"/>
      <c r="F22" s="10"/>
      <c r="G22" s="10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6" x14ac:dyDescent="0.3">
      <c r="A23" s="1"/>
      <c r="B23" s="1"/>
      <c r="C23" s="10"/>
      <c r="D23" s="10"/>
      <c r="E23" s="10"/>
      <c r="F23" s="10"/>
      <c r="G23" s="10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6" x14ac:dyDescent="0.3">
      <c r="A24" s="1"/>
      <c r="B24" s="1"/>
      <c r="C24" s="10"/>
      <c r="D24" s="10"/>
      <c r="E24" s="10"/>
      <c r="F24" s="10"/>
      <c r="G24" s="10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6" x14ac:dyDescent="0.3">
      <c r="A25" s="1"/>
      <c r="B25" s="1"/>
      <c r="C25" s="10"/>
      <c r="D25" s="10"/>
      <c r="E25" s="10"/>
      <c r="F25" s="10"/>
      <c r="G25" s="10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6" x14ac:dyDescent="0.3">
      <c r="A26" s="1"/>
      <c r="B26" s="1"/>
      <c r="C26" s="10"/>
      <c r="D26" s="10"/>
      <c r="E26" s="10"/>
      <c r="F26" s="10"/>
      <c r="G26" s="10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6" x14ac:dyDescent="0.3">
      <c r="A27" s="1"/>
      <c r="B27" s="1"/>
      <c r="C27" s="10"/>
      <c r="D27" s="10"/>
      <c r="E27" s="10"/>
      <c r="F27" s="10"/>
      <c r="G27" s="10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6" x14ac:dyDescent="0.3">
      <c r="A28" s="1"/>
      <c r="B28" s="1"/>
      <c r="C28" s="10"/>
      <c r="D28" s="10"/>
      <c r="E28" s="10"/>
      <c r="F28" s="10"/>
      <c r="G28" s="10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/>
      <c r="C29" s="10"/>
      <c r="D29" s="10"/>
      <c r="E29" s="10"/>
      <c r="F29" s="10"/>
      <c r="G29" s="10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6" x14ac:dyDescent="0.3">
      <c r="A30" s="1"/>
      <c r="B30" s="1"/>
      <c r="C30" s="10"/>
      <c r="D30" s="10"/>
      <c r="E30" s="10"/>
      <c r="F30" s="10"/>
      <c r="G30" s="10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0"/>
      <c r="D31" s="10"/>
      <c r="E31" s="10"/>
      <c r="F31" s="10"/>
      <c r="G31" s="10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6" x14ac:dyDescent="0.3">
      <c r="A32" s="1"/>
      <c r="B32" s="1"/>
      <c r="C32" s="10"/>
      <c r="D32" s="10"/>
      <c r="E32" s="10"/>
      <c r="F32" s="10"/>
      <c r="G32" s="10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10"/>
      <c r="D33" s="10"/>
      <c r="E33" s="10"/>
      <c r="F33" s="10"/>
      <c r="G33" s="10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10"/>
      <c r="D34" s="10"/>
      <c r="E34" s="10"/>
      <c r="F34" s="10"/>
      <c r="G34" s="10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10"/>
      <c r="D35" s="10"/>
      <c r="E35" s="10"/>
      <c r="F35" s="10"/>
      <c r="G35" s="10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1"/>
      <c r="B36" s="1"/>
      <c r="C36" s="10"/>
      <c r="D36" s="10"/>
      <c r="E36" s="10"/>
      <c r="F36" s="10"/>
      <c r="G36" s="10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6" x14ac:dyDescent="0.3">
      <c r="A37" s="1"/>
      <c r="B37" s="1"/>
      <c r="C37" s="10"/>
      <c r="D37" s="10"/>
      <c r="E37" s="10"/>
      <c r="F37" s="10"/>
      <c r="G37" s="10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6" x14ac:dyDescent="0.3">
      <c r="A38" s="1"/>
      <c r="B38" s="1"/>
      <c r="C38" s="10"/>
      <c r="D38" s="10"/>
      <c r="E38" s="10"/>
      <c r="F38" s="10"/>
      <c r="G38" s="10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6" x14ac:dyDescent="0.3">
      <c r="A39" s="1"/>
      <c r="B39" s="1"/>
      <c r="C39" s="10"/>
      <c r="D39" s="10"/>
      <c r="E39" s="10"/>
      <c r="F39" s="10"/>
      <c r="G39" s="10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6" x14ac:dyDescent="0.3">
      <c r="A40" s="1"/>
      <c r="B40" s="1"/>
      <c r="C40" s="10"/>
      <c r="D40" s="10"/>
      <c r="E40" s="10"/>
      <c r="F40" s="10"/>
      <c r="G40" s="10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6" x14ac:dyDescent="0.3">
      <c r="A41" s="1"/>
      <c r="B41" s="1"/>
      <c r="C41" s="10"/>
      <c r="D41" s="10"/>
      <c r="E41" s="10"/>
      <c r="F41" s="10"/>
      <c r="G41" s="10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6" x14ac:dyDescent="0.3">
      <c r="A42" s="1"/>
      <c r="B42" s="1"/>
      <c r="C42" s="10"/>
      <c r="D42" s="10"/>
      <c r="E42" s="10"/>
      <c r="F42" s="10"/>
      <c r="G42" s="10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6" x14ac:dyDescent="0.3">
      <c r="A43" s="1"/>
      <c r="B43" s="1"/>
      <c r="C43" s="10"/>
      <c r="D43" s="10"/>
      <c r="E43" s="10"/>
      <c r="F43" s="10"/>
      <c r="G43" s="10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6" x14ac:dyDescent="0.3">
      <c r="A44" s="1"/>
      <c r="B44" s="1"/>
      <c r="C44" s="10"/>
      <c r="D44" s="10"/>
      <c r="E44" s="10"/>
      <c r="F44" s="10"/>
      <c r="G44" s="10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6" x14ac:dyDescent="0.3">
      <c r="A45" s="1"/>
      <c r="B45" s="1"/>
      <c r="C45" s="10"/>
      <c r="D45" s="10"/>
      <c r="E45" s="10"/>
      <c r="F45" s="10"/>
      <c r="G45" s="10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6" x14ac:dyDescent="0.3">
      <c r="A46" s="1"/>
      <c r="B46" s="1"/>
      <c r="C46" s="10"/>
      <c r="D46" s="10"/>
      <c r="E46" s="10"/>
      <c r="F46" s="10"/>
      <c r="G46" s="10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6" x14ac:dyDescent="0.3">
      <c r="A47" s="1"/>
      <c r="B47" s="1"/>
      <c r="C47" s="10"/>
      <c r="D47" s="10"/>
      <c r="E47" s="10"/>
      <c r="F47" s="10"/>
      <c r="G47" s="10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6" x14ac:dyDescent="0.3">
      <c r="A48" s="1"/>
      <c r="B48" s="1"/>
      <c r="C48" s="10"/>
      <c r="D48" s="10"/>
      <c r="E48" s="10"/>
      <c r="F48" s="10"/>
      <c r="G48" s="10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6" x14ac:dyDescent="0.3">
      <c r="A49" s="1"/>
      <c r="B49" s="1"/>
      <c r="C49" s="10"/>
      <c r="D49" s="10"/>
      <c r="E49" s="10"/>
      <c r="F49" s="10"/>
      <c r="G49" s="10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6" x14ac:dyDescent="0.3">
      <c r="A50" s="1"/>
      <c r="B50" s="1"/>
      <c r="C50" s="10"/>
      <c r="D50" s="10"/>
      <c r="E50" s="10"/>
      <c r="F50" s="10"/>
      <c r="G50" s="10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6" x14ac:dyDescent="0.3">
      <c r="A51" s="1"/>
      <c r="B51" s="1"/>
      <c r="C51" s="10"/>
      <c r="D51" s="10"/>
      <c r="E51" s="10"/>
      <c r="F51" s="10"/>
      <c r="G51" s="10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6" x14ac:dyDescent="0.3">
      <c r="A52" s="1"/>
      <c r="B52" s="1"/>
      <c r="C52" s="10"/>
      <c r="D52" s="10"/>
      <c r="E52" s="10"/>
      <c r="F52" s="10"/>
      <c r="G52" s="10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6" x14ac:dyDescent="0.3">
      <c r="A53" s="1"/>
      <c r="B53" s="1"/>
      <c r="C53" s="10"/>
      <c r="D53" s="10"/>
      <c r="E53" s="10"/>
      <c r="F53" s="10"/>
      <c r="G53" s="10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6" x14ac:dyDescent="0.3">
      <c r="A54" s="1"/>
      <c r="B54" s="1"/>
      <c r="C54" s="10"/>
      <c r="D54" s="10"/>
      <c r="E54" s="10"/>
      <c r="F54" s="10"/>
      <c r="G54" s="10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6" x14ac:dyDescent="0.3">
      <c r="A55" s="1"/>
      <c r="B55" s="1"/>
      <c r="C55" s="10"/>
      <c r="D55" s="10"/>
      <c r="E55" s="10"/>
      <c r="F55" s="10"/>
      <c r="G55" s="10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6" x14ac:dyDescent="0.3">
      <c r="A56" s="1"/>
      <c r="B56" s="1"/>
      <c r="C56" s="10"/>
      <c r="D56" s="10"/>
      <c r="E56" s="10"/>
      <c r="F56" s="10"/>
      <c r="G56" s="10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6" x14ac:dyDescent="0.3">
      <c r="A57" s="1"/>
      <c r="B57" s="1"/>
      <c r="C57" s="10"/>
      <c r="D57" s="10"/>
      <c r="E57" s="10"/>
      <c r="F57" s="10"/>
      <c r="G57" s="10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6" x14ac:dyDescent="0.3">
      <c r="A58" s="1"/>
      <c r="B58" s="1"/>
      <c r="C58" s="10"/>
      <c r="D58" s="10"/>
      <c r="E58" s="10"/>
      <c r="F58" s="10"/>
      <c r="G58" s="10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6" x14ac:dyDescent="0.3">
      <c r="A59" s="1"/>
      <c r="B59" s="1"/>
      <c r="C59" s="10"/>
      <c r="D59" s="10"/>
      <c r="E59" s="10"/>
      <c r="F59" s="10"/>
      <c r="G59" s="10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6" x14ac:dyDescent="0.3">
      <c r="A60" s="1"/>
      <c r="B60" s="1"/>
      <c r="C60" s="10"/>
      <c r="D60" s="10"/>
      <c r="E60" s="10"/>
      <c r="F60" s="10"/>
      <c r="G60" s="10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6" x14ac:dyDescent="0.3">
      <c r="A61" s="1"/>
      <c r="B61" s="1"/>
      <c r="C61" s="10"/>
      <c r="D61" s="10"/>
      <c r="E61" s="10"/>
      <c r="F61" s="10"/>
      <c r="G61" s="10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6" x14ac:dyDescent="0.3">
      <c r="A62" s="1"/>
      <c r="B62" s="1"/>
      <c r="C62" s="10"/>
      <c r="D62" s="10"/>
      <c r="E62" s="10"/>
      <c r="F62" s="10"/>
      <c r="G62" s="10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6" x14ac:dyDescent="0.3">
      <c r="A63" s="1"/>
      <c r="B63" s="1"/>
      <c r="C63" s="10"/>
      <c r="D63" s="10"/>
      <c r="E63" s="10"/>
      <c r="F63" s="10"/>
      <c r="G63" s="10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6" x14ac:dyDescent="0.3">
      <c r="A64" s="1"/>
      <c r="B64" s="1"/>
      <c r="C64" s="10"/>
      <c r="D64" s="10"/>
      <c r="E64" s="10"/>
      <c r="F64" s="10"/>
      <c r="G64" s="10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6" x14ac:dyDescent="0.3">
      <c r="A65" s="1"/>
      <c r="B65" s="1"/>
      <c r="C65" s="10"/>
      <c r="D65" s="10"/>
      <c r="E65" s="10"/>
      <c r="F65" s="10"/>
      <c r="G65" s="10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6" x14ac:dyDescent="0.3">
      <c r="A66" s="1"/>
      <c r="B66" s="1"/>
      <c r="C66" s="10"/>
      <c r="D66" s="10"/>
      <c r="E66" s="10"/>
      <c r="F66" s="10"/>
      <c r="G66" s="10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6" x14ac:dyDescent="0.3">
      <c r="A67" s="1"/>
      <c r="B67" s="1"/>
      <c r="C67" s="10"/>
      <c r="D67" s="10"/>
      <c r="E67" s="10"/>
      <c r="F67" s="10"/>
      <c r="G67" s="10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6" x14ac:dyDescent="0.3">
      <c r="A68" s="1"/>
      <c r="B68" s="1"/>
      <c r="C68" s="10"/>
      <c r="D68" s="10"/>
      <c r="E68" s="10"/>
      <c r="F68" s="10"/>
      <c r="G68" s="10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6" x14ac:dyDescent="0.3">
      <c r="A69" s="1"/>
      <c r="B69" s="1"/>
      <c r="C69" s="10"/>
      <c r="D69" s="10"/>
      <c r="E69" s="10"/>
      <c r="F69" s="10"/>
      <c r="G69" s="10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6" x14ac:dyDescent="0.3">
      <c r="A70" s="1"/>
      <c r="B70" s="1"/>
      <c r="C70" s="10"/>
      <c r="D70" s="10"/>
      <c r="E70" s="10"/>
      <c r="F70" s="10"/>
      <c r="G70" s="10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6" x14ac:dyDescent="0.3">
      <c r="A71" s="1"/>
      <c r="B71" s="1"/>
      <c r="C71" s="10"/>
      <c r="D71" s="10"/>
      <c r="E71" s="10"/>
      <c r="F71" s="10"/>
      <c r="G71" s="10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6" x14ac:dyDescent="0.3">
      <c r="A72" s="1"/>
      <c r="B72" s="1"/>
      <c r="C72" s="10"/>
      <c r="D72" s="10"/>
      <c r="E72" s="10"/>
      <c r="F72" s="10"/>
      <c r="G72" s="10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6" x14ac:dyDescent="0.3">
      <c r="A73" s="1"/>
      <c r="B73" s="1"/>
      <c r="C73" s="10"/>
      <c r="D73" s="10"/>
      <c r="E73" s="10"/>
      <c r="F73" s="10"/>
      <c r="G73" s="10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6" x14ac:dyDescent="0.3">
      <c r="A74" s="1"/>
      <c r="B74" s="1"/>
      <c r="C74" s="10"/>
      <c r="D74" s="10"/>
      <c r="E74" s="10"/>
      <c r="F74" s="10"/>
      <c r="G74" s="10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6" x14ac:dyDescent="0.3">
      <c r="A75" s="1"/>
      <c r="B75" s="1"/>
      <c r="C75" s="10"/>
      <c r="D75" s="10"/>
      <c r="E75" s="10"/>
      <c r="F75" s="10"/>
      <c r="G75" s="10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6" x14ac:dyDescent="0.3">
      <c r="A76" s="1"/>
      <c r="B76" s="1"/>
      <c r="C76" s="10"/>
      <c r="D76" s="10"/>
      <c r="E76" s="10"/>
      <c r="F76" s="10"/>
      <c r="G76" s="10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6" x14ac:dyDescent="0.3">
      <c r="A77" s="1"/>
      <c r="B77" s="1"/>
      <c r="C77" s="10"/>
      <c r="D77" s="10"/>
      <c r="E77" s="10"/>
      <c r="F77" s="10"/>
      <c r="G77" s="10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6" x14ac:dyDescent="0.3">
      <c r="A78" s="1"/>
      <c r="B78" s="1"/>
      <c r="C78" s="10"/>
      <c r="D78" s="10"/>
      <c r="E78" s="10"/>
      <c r="F78" s="10"/>
      <c r="G78" s="10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6" x14ac:dyDescent="0.3">
      <c r="A79" s="1"/>
      <c r="B79" s="1"/>
      <c r="C79" s="10"/>
      <c r="D79" s="10"/>
      <c r="E79" s="10"/>
      <c r="F79" s="10"/>
      <c r="G79" s="10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6" x14ac:dyDescent="0.3">
      <c r="A80" s="1"/>
      <c r="B80" s="1"/>
      <c r="C80" s="10"/>
      <c r="D80" s="10"/>
      <c r="E80" s="10"/>
      <c r="F80" s="10"/>
      <c r="G80" s="10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6" x14ac:dyDescent="0.3">
      <c r="A81" s="1"/>
      <c r="B81" s="1"/>
      <c r="C81" s="10"/>
      <c r="D81" s="10"/>
      <c r="E81" s="10"/>
      <c r="F81" s="10"/>
      <c r="G81" s="10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6" x14ac:dyDescent="0.3">
      <c r="A82" s="1"/>
      <c r="B82" s="1"/>
      <c r="C82" s="10"/>
      <c r="D82" s="10"/>
      <c r="E82" s="10"/>
      <c r="F82" s="10"/>
      <c r="G82" s="10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6" x14ac:dyDescent="0.3">
      <c r="A83" s="1"/>
      <c r="B83" s="1"/>
      <c r="C83" s="10"/>
      <c r="D83" s="10"/>
      <c r="E83" s="10"/>
      <c r="F83" s="10"/>
      <c r="G83" s="10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6" x14ac:dyDescent="0.3">
      <c r="A84" s="1"/>
      <c r="B84" s="1"/>
      <c r="C84" s="10"/>
      <c r="D84" s="10"/>
      <c r="E84" s="10"/>
      <c r="F84" s="10"/>
      <c r="G84" s="10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6" x14ac:dyDescent="0.3">
      <c r="A85" s="1"/>
      <c r="B85" s="1"/>
      <c r="C85" s="10"/>
      <c r="D85" s="10"/>
      <c r="E85" s="10"/>
      <c r="F85" s="10"/>
      <c r="G85" s="10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6" x14ac:dyDescent="0.3">
      <c r="A86" s="1"/>
      <c r="B86" s="1"/>
      <c r="C86" s="10"/>
      <c r="D86" s="10"/>
      <c r="E86" s="10"/>
      <c r="F86" s="10"/>
      <c r="G86" s="10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6" x14ac:dyDescent="0.3">
      <c r="A87" s="1"/>
      <c r="B87" s="1"/>
      <c r="C87" s="10"/>
      <c r="D87" s="10"/>
      <c r="E87" s="10"/>
      <c r="F87" s="10"/>
      <c r="G87" s="10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6" x14ac:dyDescent="0.3">
      <c r="A88" s="1"/>
      <c r="B88" s="1"/>
      <c r="C88" s="10"/>
      <c r="D88" s="10"/>
      <c r="E88" s="10"/>
      <c r="F88" s="10"/>
      <c r="G88" s="10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6" x14ac:dyDescent="0.3">
      <c r="A89" s="1"/>
      <c r="B89" s="1"/>
      <c r="C89" s="10"/>
      <c r="D89" s="10"/>
      <c r="E89" s="10"/>
      <c r="F89" s="10"/>
      <c r="G89" s="10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6" x14ac:dyDescent="0.3">
      <c r="A90" s="1"/>
      <c r="B90" s="1"/>
      <c r="C90" s="10"/>
      <c r="D90" s="10"/>
      <c r="E90" s="10"/>
      <c r="F90" s="10"/>
      <c r="G90" s="10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6" x14ac:dyDescent="0.3">
      <c r="A91" s="1"/>
      <c r="B91" s="1"/>
      <c r="C91" s="10"/>
      <c r="D91" s="10"/>
      <c r="E91" s="10"/>
      <c r="F91" s="10"/>
      <c r="G91" s="10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6" x14ac:dyDescent="0.3">
      <c r="A92" s="1"/>
      <c r="B92" s="1"/>
      <c r="C92" s="10"/>
      <c r="D92" s="10"/>
      <c r="E92" s="10"/>
      <c r="F92" s="10"/>
      <c r="G92" s="10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6" x14ac:dyDescent="0.3">
      <c r="A93" s="1"/>
      <c r="B93" s="1"/>
      <c r="C93" s="10"/>
      <c r="D93" s="10"/>
      <c r="E93" s="10"/>
      <c r="F93" s="10"/>
      <c r="G93" s="10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6" x14ac:dyDescent="0.3">
      <c r="A94" s="1"/>
      <c r="B94" s="1"/>
      <c r="C94" s="10"/>
      <c r="D94" s="10"/>
      <c r="E94" s="10"/>
      <c r="F94" s="10"/>
      <c r="G94" s="10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6" x14ac:dyDescent="0.3">
      <c r="A95" s="1"/>
      <c r="B95" s="1"/>
      <c r="C95" s="10"/>
      <c r="D95" s="10"/>
      <c r="E95" s="10"/>
      <c r="F95" s="10"/>
      <c r="G95" s="10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6" x14ac:dyDescent="0.3">
      <c r="A96" s="1"/>
      <c r="B96" s="1"/>
      <c r="C96" s="10"/>
      <c r="D96" s="10"/>
      <c r="E96" s="10"/>
      <c r="F96" s="10"/>
      <c r="G96" s="10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6" x14ac:dyDescent="0.3">
      <c r="A97" s="1"/>
      <c r="B97" s="1"/>
      <c r="C97" s="10"/>
      <c r="D97" s="10"/>
      <c r="E97" s="10"/>
      <c r="F97" s="10"/>
      <c r="G97" s="10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6" x14ac:dyDescent="0.3">
      <c r="A98" s="1"/>
      <c r="B98" s="1"/>
      <c r="C98" s="10"/>
      <c r="D98" s="10"/>
      <c r="E98" s="10"/>
      <c r="F98" s="10"/>
      <c r="G98" s="10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6" x14ac:dyDescent="0.3">
      <c r="A99" s="1"/>
      <c r="B99" s="1"/>
      <c r="C99" s="10"/>
      <c r="D99" s="10"/>
      <c r="E99" s="10"/>
      <c r="F99" s="10"/>
      <c r="G99" s="10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6" x14ac:dyDescent="0.3">
      <c r="A100" s="1"/>
      <c r="B100" s="1"/>
      <c r="C100" s="10"/>
      <c r="D100" s="10"/>
      <c r="E100" s="10"/>
      <c r="F100" s="10"/>
      <c r="G100" s="10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6" x14ac:dyDescent="0.3">
      <c r="A101" s="1"/>
      <c r="B101" s="1"/>
      <c r="C101" s="10"/>
      <c r="D101" s="10"/>
      <c r="E101" s="10"/>
      <c r="F101" s="10"/>
      <c r="G101" s="10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6" x14ac:dyDescent="0.3">
      <c r="A102" s="1"/>
      <c r="B102" s="1"/>
      <c r="C102" s="10"/>
      <c r="D102" s="10"/>
      <c r="E102" s="10"/>
      <c r="F102" s="10"/>
      <c r="G102" s="10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6" x14ac:dyDescent="0.3">
      <c r="A103" s="1"/>
      <c r="B103" s="1"/>
      <c r="C103" s="10"/>
      <c r="D103" s="10"/>
      <c r="E103" s="10"/>
      <c r="F103" s="10"/>
      <c r="G103" s="10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6" x14ac:dyDescent="0.3">
      <c r="A104" s="1"/>
      <c r="B104" s="1"/>
      <c r="C104" s="10"/>
      <c r="D104" s="10"/>
      <c r="E104" s="10"/>
      <c r="F104" s="10"/>
      <c r="G104" s="10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6" x14ac:dyDescent="0.3">
      <c r="A105" s="1"/>
      <c r="B105" s="1"/>
      <c r="C105" s="10"/>
      <c r="D105" s="10"/>
      <c r="E105" s="10"/>
      <c r="F105" s="10"/>
      <c r="G105" s="10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6" x14ac:dyDescent="0.3">
      <c r="A106" s="1"/>
      <c r="B106" s="1"/>
      <c r="C106" s="10"/>
      <c r="D106" s="10"/>
      <c r="E106" s="10"/>
      <c r="F106" s="10"/>
      <c r="G106" s="10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6" x14ac:dyDescent="0.3">
      <c r="A107" s="1"/>
      <c r="B107" s="1"/>
      <c r="C107" s="10"/>
      <c r="D107" s="10"/>
      <c r="E107" s="10"/>
      <c r="F107" s="10"/>
      <c r="G107" s="10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6" x14ac:dyDescent="0.3">
      <c r="A108" s="1"/>
      <c r="B108" s="1"/>
      <c r="C108" s="10"/>
      <c r="D108" s="10"/>
      <c r="E108" s="10"/>
      <c r="F108" s="10"/>
      <c r="G108" s="10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6" x14ac:dyDescent="0.3">
      <c r="A109" s="1"/>
      <c r="B109" s="1"/>
      <c r="C109" s="10"/>
      <c r="D109" s="10"/>
      <c r="E109" s="10"/>
      <c r="F109" s="10"/>
      <c r="G109" s="10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6" x14ac:dyDescent="0.3">
      <c r="A110" s="1"/>
      <c r="B110" s="1"/>
      <c r="C110" s="10"/>
      <c r="D110" s="10"/>
      <c r="E110" s="10"/>
      <c r="F110" s="10"/>
      <c r="G110" s="10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6" x14ac:dyDescent="0.3">
      <c r="A111" s="1"/>
      <c r="B111" s="1"/>
      <c r="C111" s="10"/>
      <c r="D111" s="10"/>
      <c r="E111" s="10"/>
      <c r="F111" s="10"/>
      <c r="G111" s="10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6" x14ac:dyDescent="0.3">
      <c r="A112" s="1"/>
      <c r="B112" s="1"/>
      <c r="C112" s="10"/>
      <c r="D112" s="10"/>
      <c r="E112" s="10"/>
      <c r="F112" s="10"/>
      <c r="G112" s="10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6" x14ac:dyDescent="0.3">
      <c r="A113" s="1"/>
      <c r="B113" s="1"/>
      <c r="C113" s="10"/>
      <c r="D113" s="10"/>
      <c r="E113" s="10"/>
      <c r="F113" s="10"/>
      <c r="G113" s="10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6" x14ac:dyDescent="0.3">
      <c r="A114" s="1"/>
      <c r="B114" s="1"/>
      <c r="C114" s="10"/>
      <c r="D114" s="10"/>
      <c r="E114" s="10"/>
      <c r="F114" s="10"/>
      <c r="G114" s="10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6" x14ac:dyDescent="0.3">
      <c r="A115" s="1"/>
      <c r="B115" s="1"/>
      <c r="C115" s="10"/>
      <c r="D115" s="10"/>
      <c r="E115" s="10"/>
      <c r="F115" s="10"/>
      <c r="G115" s="10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6" x14ac:dyDescent="0.3">
      <c r="A116" s="1"/>
      <c r="B116" s="1"/>
      <c r="C116" s="10"/>
      <c r="D116" s="10"/>
      <c r="E116" s="10"/>
      <c r="F116" s="10"/>
      <c r="G116" s="10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6" x14ac:dyDescent="0.3">
      <c r="A117" s="1"/>
      <c r="B117" s="1"/>
      <c r="C117" s="10"/>
      <c r="D117" s="10"/>
      <c r="E117" s="10"/>
      <c r="F117" s="10"/>
      <c r="G117" s="10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6" x14ac:dyDescent="0.3">
      <c r="A118" s="1"/>
      <c r="B118" s="1"/>
      <c r="C118" s="10"/>
      <c r="D118" s="10"/>
      <c r="E118" s="10"/>
      <c r="F118" s="10"/>
      <c r="G118" s="10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6" x14ac:dyDescent="0.3">
      <c r="A119" s="1"/>
      <c r="B119" s="1"/>
      <c r="C119" s="10"/>
      <c r="D119" s="10"/>
      <c r="E119" s="10"/>
      <c r="F119" s="10"/>
      <c r="G119" s="10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6" x14ac:dyDescent="0.3">
      <c r="A120" s="1"/>
      <c r="B120" s="1"/>
      <c r="C120" s="10"/>
      <c r="D120" s="10"/>
      <c r="E120" s="10"/>
      <c r="F120" s="10"/>
      <c r="G120" s="10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6" x14ac:dyDescent="0.3">
      <c r="A121" s="1"/>
      <c r="B121" s="1"/>
      <c r="C121" s="10"/>
      <c r="D121" s="10"/>
      <c r="E121" s="10"/>
      <c r="F121" s="10"/>
      <c r="G121" s="10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6" x14ac:dyDescent="0.3">
      <c r="A122" s="1"/>
      <c r="B122" s="1"/>
      <c r="C122" s="10"/>
      <c r="D122" s="10"/>
      <c r="E122" s="10"/>
      <c r="F122" s="10"/>
      <c r="G122" s="10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6" x14ac:dyDescent="0.3">
      <c r="A123" s="1"/>
      <c r="B123" s="1"/>
      <c r="C123" s="10"/>
      <c r="D123" s="10"/>
      <c r="E123" s="10"/>
      <c r="F123" s="10"/>
      <c r="G123" s="10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6" x14ac:dyDescent="0.3">
      <c r="A124" s="1"/>
      <c r="B124" s="1"/>
      <c r="C124" s="10"/>
      <c r="D124" s="10"/>
      <c r="E124" s="10"/>
      <c r="F124" s="10"/>
      <c r="G124" s="10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6" x14ac:dyDescent="0.3">
      <c r="A125" s="1"/>
      <c r="B125" s="1"/>
      <c r="C125" s="10"/>
      <c r="D125" s="10"/>
      <c r="E125" s="10"/>
      <c r="F125" s="10"/>
      <c r="G125" s="10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6" x14ac:dyDescent="0.3">
      <c r="A126" s="1"/>
      <c r="B126" s="1"/>
      <c r="C126" s="10"/>
      <c r="D126" s="10"/>
      <c r="E126" s="10"/>
      <c r="F126" s="10"/>
      <c r="G126" s="10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6" x14ac:dyDescent="0.3">
      <c r="A127" s="1"/>
      <c r="B127" s="1"/>
      <c r="C127" s="10"/>
      <c r="D127" s="10"/>
      <c r="E127" s="10"/>
      <c r="F127" s="10"/>
      <c r="G127" s="10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6" x14ac:dyDescent="0.3">
      <c r="A128" s="1"/>
      <c r="B128" s="1"/>
      <c r="C128" s="10"/>
      <c r="D128" s="10"/>
      <c r="E128" s="10"/>
      <c r="F128" s="10"/>
      <c r="G128" s="10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6" x14ac:dyDescent="0.3">
      <c r="A129" s="1"/>
      <c r="B129" s="1"/>
      <c r="C129" s="10"/>
      <c r="D129" s="10"/>
      <c r="E129" s="10"/>
      <c r="F129" s="10"/>
      <c r="G129" s="10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6" x14ac:dyDescent="0.3">
      <c r="A130" s="1"/>
      <c r="B130" s="1"/>
      <c r="C130" s="10"/>
      <c r="D130" s="10"/>
      <c r="E130" s="10"/>
      <c r="F130" s="10"/>
      <c r="G130" s="10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6" x14ac:dyDescent="0.3">
      <c r="A131" s="1"/>
      <c r="B131" s="1"/>
      <c r="C131" s="10"/>
      <c r="D131" s="10"/>
      <c r="E131" s="10"/>
      <c r="F131" s="10"/>
      <c r="G131" s="10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6" x14ac:dyDescent="0.3">
      <c r="A132" s="1"/>
      <c r="B132" s="1"/>
      <c r="C132" s="10"/>
      <c r="D132" s="10"/>
      <c r="E132" s="10"/>
      <c r="F132" s="10"/>
      <c r="G132" s="10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6" x14ac:dyDescent="0.3">
      <c r="A133" s="1"/>
      <c r="B133" s="1"/>
      <c r="C133" s="10"/>
      <c r="D133" s="10"/>
      <c r="E133" s="10"/>
      <c r="F133" s="10"/>
      <c r="G133" s="10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6" x14ac:dyDescent="0.3">
      <c r="A134" s="1"/>
      <c r="B134" s="1"/>
      <c r="C134" s="10"/>
      <c r="D134" s="10"/>
      <c r="E134" s="10"/>
      <c r="F134" s="10"/>
      <c r="G134" s="10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6" x14ac:dyDescent="0.3">
      <c r="A135" s="1"/>
      <c r="B135" s="1"/>
      <c r="C135" s="10"/>
      <c r="D135" s="10"/>
      <c r="E135" s="10"/>
      <c r="F135" s="10"/>
      <c r="G135" s="10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6" x14ac:dyDescent="0.3">
      <c r="A136" s="1"/>
      <c r="B136" s="1"/>
      <c r="C136" s="10"/>
      <c r="D136" s="10"/>
      <c r="E136" s="10"/>
      <c r="F136" s="10"/>
      <c r="G136" s="10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6" x14ac:dyDescent="0.3">
      <c r="A137" s="1"/>
      <c r="B137" s="1"/>
      <c r="C137" s="10"/>
      <c r="D137" s="10"/>
      <c r="E137" s="10"/>
      <c r="F137" s="10"/>
      <c r="G137" s="10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6" x14ac:dyDescent="0.3">
      <c r="A138" s="1"/>
      <c r="B138" s="1"/>
      <c r="C138" s="10"/>
      <c r="D138" s="10"/>
      <c r="E138" s="10"/>
      <c r="F138" s="10"/>
      <c r="G138" s="10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6" x14ac:dyDescent="0.3">
      <c r="A139" s="1"/>
      <c r="B139" s="1"/>
      <c r="C139" s="10"/>
      <c r="D139" s="10"/>
      <c r="E139" s="10"/>
      <c r="F139" s="10"/>
      <c r="G139" s="10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6" x14ac:dyDescent="0.3">
      <c r="A140" s="1"/>
      <c r="B140" s="1"/>
      <c r="C140" s="10"/>
      <c r="D140" s="10"/>
      <c r="E140" s="10"/>
      <c r="F140" s="10"/>
      <c r="G140" s="10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6" x14ac:dyDescent="0.3">
      <c r="A141" s="1"/>
      <c r="B141" s="1"/>
      <c r="C141" s="10"/>
      <c r="D141" s="10"/>
      <c r="E141" s="10"/>
      <c r="F141" s="10"/>
      <c r="G141" s="10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6" x14ac:dyDescent="0.3">
      <c r="A142" s="1"/>
      <c r="B142" s="1"/>
      <c r="C142" s="10"/>
      <c r="D142" s="10"/>
      <c r="E142" s="10"/>
      <c r="F142" s="10"/>
      <c r="G142" s="10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6" x14ac:dyDescent="0.3">
      <c r="A143" s="1"/>
      <c r="B143" s="1"/>
      <c r="C143" s="10"/>
      <c r="D143" s="10"/>
      <c r="E143" s="10"/>
      <c r="F143" s="10"/>
      <c r="G143" s="10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6" x14ac:dyDescent="0.3">
      <c r="A144" s="1"/>
      <c r="B144" s="1"/>
      <c r="C144" s="10"/>
      <c r="D144" s="10"/>
      <c r="E144" s="10"/>
      <c r="F144" s="10"/>
      <c r="G144" s="10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6" x14ac:dyDescent="0.3">
      <c r="A145" s="1"/>
      <c r="B145" s="1"/>
      <c r="C145" s="10"/>
      <c r="D145" s="10"/>
      <c r="E145" s="10"/>
      <c r="F145" s="10"/>
      <c r="G145" s="10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6" x14ac:dyDescent="0.3">
      <c r="A146" s="1"/>
      <c r="B146" s="1"/>
      <c r="C146" s="10"/>
      <c r="D146" s="10"/>
      <c r="E146" s="10"/>
      <c r="F146" s="10"/>
      <c r="G146" s="10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6" x14ac:dyDescent="0.3">
      <c r="A147" s="1"/>
      <c r="B147" s="1"/>
      <c r="C147" s="10"/>
      <c r="D147" s="10"/>
      <c r="E147" s="10"/>
      <c r="F147" s="10"/>
      <c r="G147" s="10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6" x14ac:dyDescent="0.3">
      <c r="A148" s="1"/>
      <c r="B148" s="1"/>
      <c r="C148" s="10"/>
      <c r="D148" s="10"/>
      <c r="E148" s="10"/>
      <c r="F148" s="10"/>
      <c r="G148" s="10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6" x14ac:dyDescent="0.3">
      <c r="A149" s="1"/>
      <c r="B149" s="1"/>
      <c r="C149" s="10"/>
      <c r="D149" s="10"/>
      <c r="E149" s="10"/>
      <c r="F149" s="10"/>
      <c r="G149" s="10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6" x14ac:dyDescent="0.3">
      <c r="A150" s="1"/>
      <c r="B150" s="1"/>
      <c r="C150" s="10"/>
      <c r="D150" s="10"/>
      <c r="E150" s="10"/>
      <c r="F150" s="10"/>
      <c r="G150" s="10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6" x14ac:dyDescent="0.3">
      <c r="A151" s="1"/>
      <c r="B151" s="1"/>
      <c r="C151" s="10"/>
      <c r="D151" s="10"/>
      <c r="E151" s="10"/>
      <c r="F151" s="10"/>
      <c r="G151" s="10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6" x14ac:dyDescent="0.3">
      <c r="A152" s="1"/>
      <c r="B152" s="1"/>
      <c r="C152" s="10"/>
      <c r="D152" s="10"/>
      <c r="E152" s="10"/>
      <c r="F152" s="10"/>
      <c r="G152" s="10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6" x14ac:dyDescent="0.3">
      <c r="A153" s="1"/>
      <c r="B153" s="1"/>
      <c r="C153" s="10"/>
      <c r="D153" s="10"/>
      <c r="E153" s="10"/>
      <c r="F153" s="10"/>
      <c r="G153" s="10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6" x14ac:dyDescent="0.3">
      <c r="A154" s="1"/>
      <c r="B154" s="1"/>
      <c r="C154" s="10"/>
      <c r="D154" s="10"/>
      <c r="E154" s="10"/>
      <c r="F154" s="10"/>
      <c r="G154" s="10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6" x14ac:dyDescent="0.3">
      <c r="A155" s="1"/>
      <c r="B155" s="1"/>
      <c r="C155" s="10"/>
      <c r="D155" s="10"/>
      <c r="E155" s="10"/>
      <c r="F155" s="10"/>
      <c r="G155" s="10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6" x14ac:dyDescent="0.3">
      <c r="A156" s="1"/>
      <c r="B156" s="1"/>
      <c r="C156" s="10"/>
      <c r="D156" s="10"/>
      <c r="E156" s="10"/>
      <c r="F156" s="10"/>
      <c r="G156" s="10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6" x14ac:dyDescent="0.3">
      <c r="A157" s="1"/>
      <c r="B157" s="1"/>
      <c r="C157" s="10"/>
      <c r="D157" s="10"/>
      <c r="E157" s="10"/>
      <c r="F157" s="10"/>
      <c r="G157" s="10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6" x14ac:dyDescent="0.3">
      <c r="A158" s="1"/>
      <c r="B158" s="1"/>
      <c r="C158" s="10"/>
      <c r="D158" s="10"/>
      <c r="E158" s="10"/>
      <c r="F158" s="10"/>
      <c r="G158" s="10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6" x14ac:dyDescent="0.3">
      <c r="A159" s="1"/>
      <c r="B159" s="1"/>
      <c r="C159" s="10"/>
      <c r="D159" s="10"/>
      <c r="E159" s="10"/>
      <c r="F159" s="10"/>
      <c r="G159" s="10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6" x14ac:dyDescent="0.3">
      <c r="A160" s="1"/>
      <c r="B160" s="1"/>
      <c r="C160" s="10"/>
      <c r="D160" s="10"/>
      <c r="E160" s="10"/>
      <c r="F160" s="10"/>
      <c r="G160" s="10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6" x14ac:dyDescent="0.3">
      <c r="A161" s="1"/>
      <c r="B161" s="1"/>
      <c r="C161" s="10"/>
      <c r="D161" s="10"/>
      <c r="E161" s="10"/>
      <c r="F161" s="10"/>
      <c r="G161" s="10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6" x14ac:dyDescent="0.3">
      <c r="A162" s="1"/>
      <c r="B162" s="1"/>
      <c r="C162" s="10"/>
      <c r="D162" s="10"/>
      <c r="E162" s="10"/>
      <c r="F162" s="10"/>
      <c r="G162" s="10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6" x14ac:dyDescent="0.3">
      <c r="A163" s="1"/>
      <c r="B163" s="1"/>
      <c r="C163" s="10"/>
      <c r="D163" s="10"/>
      <c r="E163" s="10"/>
      <c r="F163" s="10"/>
      <c r="G163" s="10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6" x14ac:dyDescent="0.3">
      <c r="A164" s="1"/>
      <c r="B164" s="1"/>
      <c r="C164" s="10"/>
      <c r="D164" s="10"/>
      <c r="E164" s="10"/>
      <c r="F164" s="10"/>
      <c r="G164" s="10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6" x14ac:dyDescent="0.3">
      <c r="A165" s="1"/>
      <c r="B165" s="1"/>
      <c r="C165" s="10"/>
      <c r="D165" s="10"/>
      <c r="E165" s="10"/>
      <c r="F165" s="10"/>
      <c r="G165" s="10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6" x14ac:dyDescent="0.3">
      <c r="A166" s="1"/>
      <c r="B166" s="1"/>
      <c r="C166" s="10"/>
      <c r="D166" s="10"/>
      <c r="E166" s="10"/>
      <c r="F166" s="10"/>
      <c r="G166" s="10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6" x14ac:dyDescent="0.3">
      <c r="A167" s="1"/>
      <c r="B167" s="1"/>
      <c r="C167" s="10"/>
      <c r="D167" s="10"/>
      <c r="E167" s="10"/>
      <c r="F167" s="10"/>
      <c r="G167" s="10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6" x14ac:dyDescent="0.3">
      <c r="A168" s="1"/>
      <c r="B168" s="1"/>
      <c r="C168" s="10"/>
      <c r="D168" s="10"/>
      <c r="E168" s="10"/>
      <c r="F168" s="10"/>
      <c r="G168" s="10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6" x14ac:dyDescent="0.3">
      <c r="A169" s="1"/>
      <c r="B169" s="1"/>
      <c r="C169" s="10"/>
      <c r="D169" s="10"/>
      <c r="E169" s="10"/>
      <c r="F169" s="10"/>
      <c r="G169" s="10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6" x14ac:dyDescent="0.3">
      <c r="A170" s="1"/>
      <c r="B170" s="1"/>
      <c r="C170" s="10"/>
      <c r="D170" s="10"/>
      <c r="E170" s="10"/>
      <c r="F170" s="10"/>
      <c r="G170" s="10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6" x14ac:dyDescent="0.3">
      <c r="A171" s="1"/>
      <c r="B171" s="1"/>
      <c r="C171" s="10"/>
      <c r="D171" s="10"/>
      <c r="E171" s="10"/>
      <c r="F171" s="10"/>
      <c r="G171" s="10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6" x14ac:dyDescent="0.3">
      <c r="A172" s="1"/>
      <c r="B172" s="1"/>
      <c r="C172" s="10"/>
      <c r="D172" s="10"/>
      <c r="E172" s="10"/>
      <c r="F172" s="10"/>
      <c r="G172" s="10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6" x14ac:dyDescent="0.3">
      <c r="A173" s="1"/>
      <c r="B173" s="1"/>
      <c r="C173" s="10"/>
      <c r="D173" s="10"/>
      <c r="E173" s="10"/>
      <c r="F173" s="10"/>
      <c r="G173" s="10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6" x14ac:dyDescent="0.3">
      <c r="A174" s="1"/>
      <c r="B174" s="1"/>
      <c r="C174" s="10"/>
      <c r="D174" s="10"/>
      <c r="E174" s="10"/>
      <c r="F174" s="10"/>
      <c r="G174" s="10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6" x14ac:dyDescent="0.3">
      <c r="A175" s="1"/>
      <c r="B175" s="1"/>
      <c r="C175" s="10"/>
      <c r="D175" s="10"/>
      <c r="E175" s="10"/>
      <c r="F175" s="10"/>
      <c r="G175" s="10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6" x14ac:dyDescent="0.3">
      <c r="A176" s="1"/>
      <c r="B176" s="1"/>
      <c r="C176" s="10"/>
      <c r="D176" s="10"/>
      <c r="E176" s="10"/>
      <c r="F176" s="10"/>
      <c r="G176" s="10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6" x14ac:dyDescent="0.3">
      <c r="A177" s="1"/>
      <c r="B177" s="1"/>
      <c r="C177" s="10"/>
      <c r="D177" s="10"/>
      <c r="E177" s="10"/>
      <c r="F177" s="10"/>
      <c r="G177" s="10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6" x14ac:dyDescent="0.3">
      <c r="A178" s="1"/>
      <c r="B178" s="1"/>
      <c r="C178" s="10"/>
      <c r="D178" s="10"/>
      <c r="E178" s="10"/>
      <c r="F178" s="10"/>
      <c r="G178" s="10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6" x14ac:dyDescent="0.3">
      <c r="A179" s="1"/>
      <c r="B179" s="1"/>
      <c r="C179" s="10"/>
      <c r="D179" s="10"/>
      <c r="E179" s="10"/>
      <c r="F179" s="10"/>
      <c r="G179" s="10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6" x14ac:dyDescent="0.3">
      <c r="A180" s="1"/>
      <c r="B180" s="1"/>
      <c r="C180" s="10"/>
      <c r="D180" s="10"/>
      <c r="E180" s="10"/>
      <c r="F180" s="10"/>
      <c r="G180" s="10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6" x14ac:dyDescent="0.3">
      <c r="A181" s="1"/>
      <c r="B181" s="1"/>
      <c r="C181" s="10"/>
      <c r="D181" s="10"/>
      <c r="E181" s="10"/>
      <c r="F181" s="10"/>
      <c r="G181" s="10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6" x14ac:dyDescent="0.3">
      <c r="A182" s="1"/>
      <c r="B182" s="1"/>
      <c r="C182" s="10"/>
      <c r="D182" s="10"/>
      <c r="E182" s="10"/>
      <c r="F182" s="10"/>
      <c r="G182" s="10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6" x14ac:dyDescent="0.3">
      <c r="A183" s="1"/>
      <c r="B183" s="1"/>
      <c r="C183" s="10"/>
      <c r="D183" s="10"/>
      <c r="E183" s="10"/>
      <c r="F183" s="10"/>
      <c r="G183" s="10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6" x14ac:dyDescent="0.3">
      <c r="A184" s="1"/>
      <c r="B184" s="1"/>
      <c r="C184" s="10"/>
      <c r="D184" s="10"/>
      <c r="E184" s="10"/>
      <c r="F184" s="10"/>
      <c r="G184" s="10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6" x14ac:dyDescent="0.3">
      <c r="A185" s="1"/>
      <c r="B185" s="1"/>
      <c r="C185" s="10"/>
      <c r="D185" s="10"/>
      <c r="E185" s="10"/>
      <c r="F185" s="10"/>
      <c r="G185" s="10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6" x14ac:dyDescent="0.3">
      <c r="A186" s="1"/>
      <c r="B186" s="1"/>
      <c r="C186" s="10"/>
      <c r="D186" s="10"/>
      <c r="E186" s="10"/>
      <c r="F186" s="10"/>
      <c r="G186" s="10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6" x14ac:dyDescent="0.3">
      <c r="A187" s="1"/>
      <c r="B187" s="1"/>
      <c r="C187" s="10"/>
      <c r="D187" s="10"/>
      <c r="E187" s="10"/>
      <c r="F187" s="10"/>
      <c r="G187" s="10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6" x14ac:dyDescent="0.3">
      <c r="A188" s="1"/>
      <c r="B188" s="1"/>
      <c r="C188" s="10"/>
      <c r="D188" s="10"/>
      <c r="E188" s="10"/>
      <c r="F188" s="10"/>
      <c r="G188" s="10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6" x14ac:dyDescent="0.3">
      <c r="A189" s="1"/>
      <c r="B189" s="1"/>
      <c r="C189" s="10"/>
      <c r="D189" s="10"/>
      <c r="E189" s="10"/>
      <c r="F189" s="10"/>
      <c r="G189" s="10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6" x14ac:dyDescent="0.3">
      <c r="A190" s="1"/>
      <c r="B190" s="1"/>
      <c r="C190" s="10"/>
      <c r="D190" s="10"/>
      <c r="E190" s="10"/>
      <c r="F190" s="10"/>
      <c r="G190" s="10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6" x14ac:dyDescent="0.3">
      <c r="A191" s="1"/>
      <c r="B191" s="1"/>
      <c r="C191" s="10"/>
      <c r="D191" s="10"/>
      <c r="E191" s="10"/>
      <c r="F191" s="10"/>
      <c r="G191" s="10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6" x14ac:dyDescent="0.3">
      <c r="A192" s="1"/>
      <c r="B192" s="1"/>
      <c r="C192" s="10"/>
      <c r="D192" s="10"/>
      <c r="E192" s="10"/>
      <c r="F192" s="10"/>
      <c r="G192" s="10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6" x14ac:dyDescent="0.3">
      <c r="A193" s="1"/>
      <c r="B193" s="1"/>
      <c r="C193" s="10"/>
      <c r="D193" s="10"/>
      <c r="E193" s="10"/>
      <c r="F193" s="10"/>
      <c r="G193" s="10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6" x14ac:dyDescent="0.3">
      <c r="A194" s="1"/>
      <c r="B194" s="1"/>
      <c r="C194" s="10"/>
      <c r="D194" s="10"/>
      <c r="E194" s="10"/>
      <c r="F194" s="10"/>
      <c r="G194" s="10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6" x14ac:dyDescent="0.3">
      <c r="A195" s="1"/>
      <c r="B195" s="1"/>
      <c r="C195" s="10"/>
      <c r="D195" s="10"/>
      <c r="E195" s="10"/>
      <c r="F195" s="10"/>
      <c r="G195" s="10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6" x14ac:dyDescent="0.3">
      <c r="A196" s="1"/>
      <c r="B196" s="1"/>
      <c r="C196" s="10"/>
      <c r="D196" s="10"/>
      <c r="E196" s="10"/>
      <c r="F196" s="10"/>
      <c r="G196" s="10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6" x14ac:dyDescent="0.3">
      <c r="A197" s="1"/>
      <c r="B197" s="1"/>
      <c r="C197" s="10"/>
      <c r="D197" s="10"/>
      <c r="E197" s="10"/>
      <c r="F197" s="10"/>
      <c r="G197" s="10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6" x14ac:dyDescent="0.3">
      <c r="A198" s="1"/>
      <c r="B198" s="1"/>
      <c r="C198" s="10"/>
      <c r="D198" s="10"/>
      <c r="E198" s="10"/>
      <c r="F198" s="10"/>
      <c r="G198" s="10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6" x14ac:dyDescent="0.3">
      <c r="A199" s="1"/>
      <c r="B199" s="1"/>
      <c r="C199" s="10"/>
      <c r="D199" s="10"/>
      <c r="E199" s="10"/>
      <c r="F199" s="10"/>
      <c r="G199" s="10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6" x14ac:dyDescent="0.3">
      <c r="A200" s="1"/>
      <c r="B200" s="1"/>
      <c r="C200" s="10"/>
      <c r="D200" s="10"/>
      <c r="E200" s="10"/>
      <c r="F200" s="10"/>
      <c r="G200" s="10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6" x14ac:dyDescent="0.3">
      <c r="A201" s="1"/>
      <c r="B201" s="1"/>
      <c r="C201" s="10"/>
      <c r="D201" s="10"/>
      <c r="E201" s="10"/>
      <c r="F201" s="10"/>
      <c r="G201" s="10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6" x14ac:dyDescent="0.3">
      <c r="A202" s="1"/>
      <c r="B202" s="1"/>
      <c r="C202" s="10"/>
      <c r="D202" s="10"/>
      <c r="E202" s="10"/>
      <c r="F202" s="10"/>
      <c r="G202" s="10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6" x14ac:dyDescent="0.3">
      <c r="A203" s="1"/>
      <c r="B203" s="1"/>
      <c r="C203" s="10"/>
      <c r="D203" s="10"/>
      <c r="E203" s="10"/>
      <c r="F203" s="10"/>
      <c r="G203" s="10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6" x14ac:dyDescent="0.3">
      <c r="A204" s="1"/>
      <c r="B204" s="1"/>
      <c r="C204" s="10"/>
      <c r="D204" s="10"/>
      <c r="E204" s="10"/>
      <c r="F204" s="10"/>
      <c r="G204" s="10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6" x14ac:dyDescent="0.3">
      <c r="A205" s="1"/>
      <c r="B205" s="1"/>
      <c r="C205" s="10"/>
      <c r="D205" s="10"/>
      <c r="E205" s="10"/>
      <c r="F205" s="10"/>
      <c r="G205" s="10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6" x14ac:dyDescent="0.3">
      <c r="A206" s="1"/>
      <c r="B206" s="1"/>
      <c r="C206" s="10"/>
      <c r="D206" s="10"/>
      <c r="E206" s="10"/>
      <c r="F206" s="10"/>
      <c r="G206" s="10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6" x14ac:dyDescent="0.3">
      <c r="A207" s="1"/>
      <c r="B207" s="1"/>
      <c r="C207" s="10"/>
      <c r="D207" s="10"/>
      <c r="E207" s="10"/>
      <c r="F207" s="10"/>
      <c r="G207" s="10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6" x14ac:dyDescent="0.3">
      <c r="A208" s="1"/>
      <c r="B208" s="1"/>
      <c r="C208" s="10"/>
      <c r="D208" s="10"/>
      <c r="E208" s="10"/>
      <c r="F208" s="10"/>
      <c r="G208" s="10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6" x14ac:dyDescent="0.3">
      <c r="A209" s="1"/>
      <c r="B209" s="1"/>
      <c r="C209" s="10"/>
      <c r="D209" s="10"/>
      <c r="E209" s="10"/>
      <c r="F209" s="10"/>
      <c r="G209" s="10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6" x14ac:dyDescent="0.3">
      <c r="A210" s="1"/>
      <c r="B210" s="1"/>
      <c r="C210" s="10"/>
      <c r="D210" s="10"/>
      <c r="E210" s="10"/>
      <c r="F210" s="10"/>
      <c r="G210" s="10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6" x14ac:dyDescent="0.3">
      <c r="A211" s="1"/>
      <c r="B211" s="1"/>
      <c r="C211" s="10"/>
      <c r="D211" s="10"/>
      <c r="E211" s="10"/>
      <c r="F211" s="10"/>
      <c r="G211" s="10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6" x14ac:dyDescent="0.3">
      <c r="A212" s="1"/>
      <c r="B212" s="1"/>
      <c r="C212" s="10"/>
      <c r="D212" s="10"/>
      <c r="E212" s="10"/>
      <c r="F212" s="10"/>
      <c r="G212" s="10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6" x14ac:dyDescent="0.3">
      <c r="A213" s="1"/>
      <c r="B213" s="1"/>
      <c r="C213" s="10"/>
      <c r="D213" s="10"/>
      <c r="E213" s="10"/>
      <c r="F213" s="10"/>
      <c r="G213" s="10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6" x14ac:dyDescent="0.3">
      <c r="A214" s="1"/>
      <c r="B214" s="1"/>
      <c r="C214" s="10"/>
      <c r="D214" s="10"/>
      <c r="E214" s="10"/>
      <c r="F214" s="10"/>
      <c r="G214" s="10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6" x14ac:dyDescent="0.3">
      <c r="A215" s="1"/>
      <c r="B215" s="1"/>
      <c r="C215" s="10"/>
      <c r="D215" s="10"/>
      <c r="E215" s="10"/>
      <c r="F215" s="10"/>
      <c r="G215" s="10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6" x14ac:dyDescent="0.3">
      <c r="A216" s="1"/>
      <c r="B216" s="1"/>
      <c r="C216" s="10"/>
      <c r="D216" s="10"/>
      <c r="E216" s="10"/>
      <c r="F216" s="10"/>
      <c r="G216" s="10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6" x14ac:dyDescent="0.3">
      <c r="A217" s="1"/>
      <c r="B217" s="1"/>
      <c r="C217" s="10"/>
      <c r="D217" s="10"/>
      <c r="E217" s="10"/>
      <c r="F217" s="10"/>
      <c r="G217" s="10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6" x14ac:dyDescent="0.3">
      <c r="A218" s="1"/>
      <c r="B218" s="1"/>
      <c r="C218" s="10"/>
      <c r="D218" s="10"/>
      <c r="E218" s="10"/>
      <c r="F218" s="10"/>
      <c r="G218" s="10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6" x14ac:dyDescent="0.3">
      <c r="A219" s="1"/>
      <c r="B219" s="1"/>
      <c r="C219" s="10"/>
      <c r="D219" s="10"/>
      <c r="E219" s="10"/>
      <c r="F219" s="10"/>
      <c r="G219" s="10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6" x14ac:dyDescent="0.3">
      <c r="A220" s="1"/>
      <c r="B220" s="1"/>
      <c r="C220" s="10"/>
      <c r="D220" s="10"/>
      <c r="E220" s="10"/>
      <c r="F220" s="10"/>
      <c r="G220" s="10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6" x14ac:dyDescent="0.3">
      <c r="A221" s="1"/>
      <c r="B221" s="1"/>
      <c r="C221" s="10"/>
      <c r="D221" s="10"/>
      <c r="E221" s="10"/>
      <c r="F221" s="10"/>
      <c r="G221" s="10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6" x14ac:dyDescent="0.3">
      <c r="A222" s="1"/>
      <c r="B222" s="1"/>
      <c r="C222" s="10"/>
      <c r="D222" s="10"/>
      <c r="E222" s="10"/>
      <c r="F222" s="10"/>
      <c r="G222" s="10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6" x14ac:dyDescent="0.3">
      <c r="A223" s="1"/>
      <c r="B223" s="1"/>
      <c r="C223" s="10"/>
      <c r="D223" s="10"/>
      <c r="E223" s="10"/>
      <c r="F223" s="10"/>
      <c r="G223" s="10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6" x14ac:dyDescent="0.3">
      <c r="A224" s="1"/>
      <c r="B224" s="1"/>
      <c r="C224" s="10"/>
      <c r="D224" s="10"/>
      <c r="E224" s="10"/>
      <c r="F224" s="10"/>
      <c r="G224" s="10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6" x14ac:dyDescent="0.3">
      <c r="A225" s="1"/>
      <c r="B225" s="1"/>
      <c r="C225" s="10"/>
      <c r="D225" s="10"/>
      <c r="E225" s="10"/>
      <c r="F225" s="10"/>
      <c r="G225" s="10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6" x14ac:dyDescent="0.3">
      <c r="A226" s="1"/>
      <c r="B226" s="1"/>
      <c r="C226" s="10"/>
      <c r="D226" s="10"/>
      <c r="E226" s="10"/>
      <c r="F226" s="10"/>
      <c r="G226" s="10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6" x14ac:dyDescent="0.3">
      <c r="A227" s="1"/>
      <c r="B227" s="1"/>
      <c r="C227" s="10"/>
      <c r="D227" s="10"/>
      <c r="E227" s="10"/>
      <c r="F227" s="10"/>
      <c r="G227" s="10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6" x14ac:dyDescent="0.3">
      <c r="A228" s="1"/>
      <c r="B228" s="1"/>
      <c r="C228" s="10"/>
      <c r="D228" s="10"/>
      <c r="E228" s="10"/>
      <c r="F228" s="10"/>
      <c r="G228" s="10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6" x14ac:dyDescent="0.3">
      <c r="A229" s="1"/>
      <c r="B229" s="1"/>
      <c r="C229" s="10"/>
      <c r="D229" s="10"/>
      <c r="E229" s="10"/>
      <c r="F229" s="10"/>
      <c r="G229" s="10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6" x14ac:dyDescent="0.3">
      <c r="A230" s="1"/>
      <c r="B230" s="1"/>
      <c r="C230" s="10"/>
      <c r="D230" s="10"/>
      <c r="E230" s="10"/>
      <c r="F230" s="10"/>
      <c r="G230" s="10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6" x14ac:dyDescent="0.3">
      <c r="A231" s="1"/>
      <c r="B231" s="1"/>
      <c r="C231" s="10"/>
      <c r="D231" s="10"/>
      <c r="E231" s="10"/>
      <c r="F231" s="10"/>
      <c r="G231" s="10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6" x14ac:dyDescent="0.3">
      <c r="A232" s="1"/>
      <c r="B232" s="1"/>
      <c r="C232" s="10"/>
      <c r="D232" s="10"/>
      <c r="E232" s="10"/>
      <c r="F232" s="10"/>
      <c r="G232" s="10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6" x14ac:dyDescent="0.3">
      <c r="A233" s="1"/>
      <c r="B233" s="1"/>
      <c r="C233" s="10"/>
      <c r="D233" s="10"/>
      <c r="E233" s="10"/>
      <c r="F233" s="10"/>
      <c r="G233" s="10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6" x14ac:dyDescent="0.3">
      <c r="A234" s="1"/>
      <c r="B234" s="1"/>
      <c r="C234" s="10"/>
      <c r="D234" s="10"/>
      <c r="E234" s="10"/>
      <c r="F234" s="10"/>
      <c r="G234" s="10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6" x14ac:dyDescent="0.3">
      <c r="A235" s="1"/>
      <c r="B235" s="1"/>
      <c r="C235" s="10"/>
      <c r="D235" s="10"/>
      <c r="E235" s="10"/>
      <c r="F235" s="10"/>
      <c r="G235" s="10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6" x14ac:dyDescent="0.3">
      <c r="A236" s="1"/>
      <c r="B236" s="1"/>
      <c r="C236" s="10"/>
      <c r="D236" s="10"/>
      <c r="E236" s="10"/>
      <c r="F236" s="10"/>
      <c r="G236" s="10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6" x14ac:dyDescent="0.3">
      <c r="A237" s="1"/>
      <c r="B237" s="1"/>
      <c r="C237" s="10"/>
      <c r="D237" s="10"/>
      <c r="E237" s="10"/>
      <c r="F237" s="10"/>
      <c r="G237" s="10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6" x14ac:dyDescent="0.3">
      <c r="A238" s="1"/>
      <c r="B238" s="1"/>
      <c r="C238" s="10"/>
      <c r="D238" s="10"/>
      <c r="E238" s="10"/>
      <c r="F238" s="10"/>
      <c r="G238" s="10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6" x14ac:dyDescent="0.3">
      <c r="A239" s="1"/>
      <c r="B239" s="1"/>
      <c r="C239" s="10"/>
      <c r="D239" s="10"/>
      <c r="E239" s="10"/>
      <c r="F239" s="10"/>
      <c r="G239" s="10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6" x14ac:dyDescent="0.3">
      <c r="A240" s="1"/>
      <c r="B240" s="1"/>
      <c r="C240" s="10"/>
      <c r="D240" s="10"/>
      <c r="E240" s="10"/>
      <c r="F240" s="10"/>
      <c r="G240" s="10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6" x14ac:dyDescent="0.3">
      <c r="A241" s="1"/>
      <c r="B241" s="1"/>
      <c r="C241" s="10"/>
      <c r="D241" s="10"/>
      <c r="E241" s="10"/>
      <c r="F241" s="10"/>
      <c r="G241" s="10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6" x14ac:dyDescent="0.3">
      <c r="A242" s="1"/>
      <c r="B242" s="1"/>
      <c r="C242" s="10"/>
      <c r="D242" s="10"/>
      <c r="E242" s="10"/>
      <c r="F242" s="10"/>
      <c r="G242" s="10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6" x14ac:dyDescent="0.3">
      <c r="A243" s="1"/>
      <c r="B243" s="1"/>
      <c r="C243" s="10"/>
      <c r="D243" s="10"/>
      <c r="E243" s="10"/>
      <c r="F243" s="10"/>
      <c r="G243" s="10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6" x14ac:dyDescent="0.3">
      <c r="A244" s="1"/>
      <c r="B244" s="1"/>
      <c r="C244" s="10"/>
      <c r="D244" s="10"/>
      <c r="E244" s="10"/>
      <c r="F244" s="10"/>
      <c r="G244" s="10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6" x14ac:dyDescent="0.3">
      <c r="A245" s="1"/>
      <c r="B245" s="1"/>
      <c r="C245" s="10"/>
      <c r="D245" s="10"/>
      <c r="E245" s="10"/>
      <c r="F245" s="10"/>
      <c r="G245" s="10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6" x14ac:dyDescent="0.3">
      <c r="A246" s="1"/>
      <c r="B246" s="1"/>
      <c r="C246" s="10"/>
      <c r="D246" s="10"/>
      <c r="E246" s="10"/>
      <c r="F246" s="10"/>
      <c r="G246" s="10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6" x14ac:dyDescent="0.3">
      <c r="A247" s="1"/>
      <c r="B247" s="1"/>
      <c r="C247" s="10"/>
      <c r="D247" s="10"/>
      <c r="E247" s="10"/>
      <c r="F247" s="10"/>
      <c r="G247" s="10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6" x14ac:dyDescent="0.3">
      <c r="A248" s="1"/>
      <c r="B248" s="1"/>
      <c r="C248" s="10"/>
      <c r="D248" s="10"/>
      <c r="E248" s="10"/>
      <c r="F248" s="10"/>
      <c r="G248" s="10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6" x14ac:dyDescent="0.3">
      <c r="A249" s="1"/>
      <c r="B249" s="1"/>
      <c r="C249" s="10"/>
      <c r="D249" s="10"/>
      <c r="E249" s="10"/>
      <c r="F249" s="10"/>
      <c r="G249" s="10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6" x14ac:dyDescent="0.3">
      <c r="A250" s="1"/>
      <c r="B250" s="1"/>
      <c r="C250" s="10"/>
      <c r="D250" s="10"/>
      <c r="E250" s="10"/>
      <c r="F250" s="10"/>
      <c r="G250" s="10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6" x14ac:dyDescent="0.3">
      <c r="A251" s="1"/>
      <c r="B251" s="1"/>
      <c r="C251" s="10"/>
      <c r="D251" s="10"/>
      <c r="E251" s="10"/>
      <c r="F251" s="10"/>
      <c r="G251" s="10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6" x14ac:dyDescent="0.3">
      <c r="A252" s="1"/>
      <c r="B252" s="1"/>
      <c r="C252" s="10"/>
      <c r="D252" s="10"/>
      <c r="E252" s="10"/>
      <c r="F252" s="10"/>
      <c r="G252" s="10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6" x14ac:dyDescent="0.3">
      <c r="A253" s="1"/>
      <c r="B253" s="1"/>
      <c r="C253" s="10"/>
      <c r="D253" s="10"/>
      <c r="E253" s="10"/>
      <c r="F253" s="10"/>
      <c r="G253" s="10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6" x14ac:dyDescent="0.3">
      <c r="A254" s="1"/>
      <c r="B254" s="1"/>
      <c r="C254" s="10"/>
      <c r="D254" s="10"/>
      <c r="E254" s="10"/>
      <c r="F254" s="10"/>
      <c r="G254" s="10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6" x14ac:dyDescent="0.3">
      <c r="A255" s="1"/>
      <c r="B255" s="1"/>
      <c r="C255" s="10"/>
      <c r="D255" s="10"/>
      <c r="E255" s="10"/>
      <c r="F255" s="10"/>
      <c r="G255" s="10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6" x14ac:dyDescent="0.3">
      <c r="A256" s="1"/>
      <c r="B256" s="1"/>
      <c r="C256" s="10"/>
      <c r="D256" s="10"/>
      <c r="E256" s="10"/>
      <c r="F256" s="10"/>
      <c r="G256" s="10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6" x14ac:dyDescent="0.3">
      <c r="A257" s="1"/>
      <c r="B257" s="1"/>
      <c r="C257" s="10"/>
      <c r="D257" s="10"/>
      <c r="E257" s="10"/>
      <c r="F257" s="10"/>
      <c r="G257" s="10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6" x14ac:dyDescent="0.3">
      <c r="A258" s="1"/>
      <c r="B258" s="1"/>
      <c r="C258" s="10"/>
      <c r="D258" s="10"/>
      <c r="E258" s="10"/>
      <c r="F258" s="10"/>
      <c r="G258" s="10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6" x14ac:dyDescent="0.3">
      <c r="A259" s="1"/>
      <c r="B259" s="1"/>
      <c r="C259" s="10"/>
      <c r="D259" s="10"/>
      <c r="E259" s="10"/>
      <c r="F259" s="10"/>
      <c r="G259" s="10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6" x14ac:dyDescent="0.3">
      <c r="A260" s="1"/>
      <c r="B260" s="1"/>
      <c r="C260" s="10"/>
      <c r="D260" s="10"/>
      <c r="E260" s="10"/>
      <c r="F260" s="10"/>
      <c r="G260" s="10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6" x14ac:dyDescent="0.3">
      <c r="A261" s="1"/>
      <c r="B261" s="1"/>
      <c r="C261" s="10"/>
      <c r="D261" s="10"/>
      <c r="E261" s="10"/>
      <c r="F261" s="10"/>
      <c r="G261" s="10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6" x14ac:dyDescent="0.3">
      <c r="A262" s="1"/>
      <c r="B262" s="1"/>
      <c r="C262" s="10"/>
      <c r="D262" s="10"/>
      <c r="E262" s="10"/>
      <c r="F262" s="10"/>
      <c r="G262" s="10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6" x14ac:dyDescent="0.3">
      <c r="A263" s="1"/>
      <c r="B263" s="1"/>
      <c r="C263" s="10"/>
      <c r="D263" s="10"/>
      <c r="E263" s="10"/>
      <c r="F263" s="10"/>
      <c r="G263" s="10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6" x14ac:dyDescent="0.3">
      <c r="A264" s="1"/>
      <c r="B264" s="1"/>
      <c r="C264" s="10"/>
      <c r="D264" s="10"/>
      <c r="E264" s="10"/>
      <c r="F264" s="10"/>
      <c r="G264" s="10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6" x14ac:dyDescent="0.3">
      <c r="A265" s="1"/>
      <c r="B265" s="1"/>
      <c r="C265" s="10"/>
      <c r="D265" s="10"/>
      <c r="E265" s="10"/>
      <c r="F265" s="10"/>
      <c r="G265" s="10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6" x14ac:dyDescent="0.3">
      <c r="A266" s="1"/>
      <c r="B266" s="1"/>
      <c r="C266" s="10"/>
      <c r="D266" s="10"/>
      <c r="E266" s="10"/>
      <c r="F266" s="10"/>
      <c r="G266" s="10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6" x14ac:dyDescent="0.3">
      <c r="A267" s="1"/>
      <c r="B267" s="1"/>
      <c r="C267" s="10"/>
      <c r="D267" s="10"/>
      <c r="E267" s="10"/>
      <c r="F267" s="10"/>
      <c r="G267" s="10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6" x14ac:dyDescent="0.3">
      <c r="A268" s="1"/>
      <c r="B268" s="1"/>
      <c r="C268" s="10"/>
      <c r="D268" s="10"/>
      <c r="E268" s="10"/>
      <c r="F268" s="10"/>
      <c r="G268" s="10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6" x14ac:dyDescent="0.3">
      <c r="A269" s="1"/>
      <c r="B269" s="1"/>
      <c r="C269" s="10"/>
      <c r="D269" s="10"/>
      <c r="E269" s="10"/>
      <c r="F269" s="10"/>
      <c r="G269" s="10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6" x14ac:dyDescent="0.3">
      <c r="A270" s="1"/>
      <c r="B270" s="1"/>
      <c r="C270" s="10"/>
      <c r="D270" s="10"/>
      <c r="E270" s="10"/>
      <c r="F270" s="10"/>
      <c r="G270" s="10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6" x14ac:dyDescent="0.3">
      <c r="A271" s="1"/>
      <c r="B271" s="1"/>
      <c r="C271" s="10"/>
      <c r="D271" s="10"/>
      <c r="E271" s="10"/>
      <c r="F271" s="10"/>
      <c r="G271" s="10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6" x14ac:dyDescent="0.3">
      <c r="A272" s="1"/>
      <c r="B272" s="1"/>
      <c r="C272" s="10"/>
      <c r="D272" s="10"/>
      <c r="E272" s="10"/>
      <c r="F272" s="10"/>
      <c r="G272" s="10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6" x14ac:dyDescent="0.3">
      <c r="A273" s="1"/>
      <c r="B273" s="1"/>
      <c r="C273" s="10"/>
      <c r="D273" s="10"/>
      <c r="E273" s="10"/>
      <c r="F273" s="10"/>
      <c r="G273" s="10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6" x14ac:dyDescent="0.3">
      <c r="A274" s="1"/>
      <c r="B274" s="1"/>
      <c r="C274" s="10"/>
      <c r="D274" s="10"/>
      <c r="E274" s="10"/>
      <c r="F274" s="10"/>
      <c r="G274" s="10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6" x14ac:dyDescent="0.3">
      <c r="A275" s="1"/>
      <c r="B275" s="1"/>
      <c r="C275" s="10"/>
      <c r="D275" s="10"/>
      <c r="E275" s="10"/>
      <c r="F275" s="10"/>
      <c r="G275" s="10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6" x14ac:dyDescent="0.3">
      <c r="A276" s="1"/>
      <c r="B276" s="1"/>
      <c r="C276" s="10"/>
      <c r="D276" s="10"/>
      <c r="E276" s="10"/>
      <c r="F276" s="10"/>
      <c r="G276" s="10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6" x14ac:dyDescent="0.3">
      <c r="A277" s="1"/>
      <c r="B277" s="1"/>
      <c r="C277" s="10"/>
      <c r="D277" s="10"/>
      <c r="E277" s="10"/>
      <c r="F277" s="10"/>
      <c r="G277" s="10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6" x14ac:dyDescent="0.3">
      <c r="A278" s="1"/>
      <c r="B278" s="1"/>
      <c r="C278" s="10"/>
      <c r="D278" s="10"/>
      <c r="E278" s="10"/>
      <c r="F278" s="10"/>
      <c r="G278" s="10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6" x14ac:dyDescent="0.3">
      <c r="A279" s="1"/>
      <c r="B279" s="1"/>
      <c r="C279" s="10"/>
      <c r="D279" s="10"/>
      <c r="E279" s="10"/>
      <c r="F279" s="10"/>
      <c r="G279" s="10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6" x14ac:dyDescent="0.3">
      <c r="A280" s="1"/>
      <c r="B280" s="1"/>
      <c r="C280" s="10"/>
      <c r="D280" s="10"/>
      <c r="E280" s="10"/>
      <c r="F280" s="10"/>
      <c r="G280" s="10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6" x14ac:dyDescent="0.3">
      <c r="A281" s="1"/>
      <c r="B281" s="1"/>
      <c r="C281" s="10"/>
      <c r="D281" s="10"/>
      <c r="E281" s="10"/>
      <c r="F281" s="10"/>
      <c r="G281" s="10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6" x14ac:dyDescent="0.3">
      <c r="A282" s="1"/>
      <c r="B282" s="1"/>
      <c r="C282" s="10"/>
      <c r="D282" s="10"/>
      <c r="E282" s="10"/>
      <c r="F282" s="10"/>
      <c r="G282" s="10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6" x14ac:dyDescent="0.3">
      <c r="A283" s="1"/>
      <c r="B283" s="1"/>
      <c r="C283" s="10"/>
      <c r="D283" s="10"/>
      <c r="E283" s="10"/>
      <c r="F283" s="10"/>
      <c r="G283" s="10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6" x14ac:dyDescent="0.3">
      <c r="A284" s="1"/>
      <c r="B284" s="1"/>
      <c r="C284" s="10"/>
      <c r="D284" s="10"/>
      <c r="E284" s="10"/>
      <c r="F284" s="10"/>
      <c r="G284" s="10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6" x14ac:dyDescent="0.3">
      <c r="A285" s="1"/>
      <c r="B285" s="1"/>
      <c r="C285" s="10"/>
      <c r="D285" s="10"/>
      <c r="E285" s="10"/>
      <c r="F285" s="10"/>
      <c r="G285" s="10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6" x14ac:dyDescent="0.3">
      <c r="A286" s="1"/>
      <c r="B286" s="1"/>
      <c r="C286" s="10"/>
      <c r="D286" s="10"/>
      <c r="E286" s="10"/>
      <c r="F286" s="10"/>
      <c r="G286" s="10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6" x14ac:dyDescent="0.3">
      <c r="A287" s="1"/>
      <c r="B287" s="1"/>
      <c r="C287" s="10"/>
      <c r="D287" s="10"/>
      <c r="E287" s="10"/>
      <c r="F287" s="10"/>
      <c r="G287" s="10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6" x14ac:dyDescent="0.3">
      <c r="A288" s="1"/>
      <c r="B288" s="1"/>
      <c r="C288" s="10"/>
      <c r="D288" s="10"/>
      <c r="E288" s="10"/>
      <c r="F288" s="10"/>
      <c r="G288" s="10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6" x14ac:dyDescent="0.3">
      <c r="A289" s="1"/>
      <c r="B289" s="1"/>
      <c r="C289" s="10"/>
      <c r="D289" s="10"/>
      <c r="E289" s="10"/>
      <c r="F289" s="10"/>
      <c r="G289" s="10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6" x14ac:dyDescent="0.3">
      <c r="A290" s="1"/>
      <c r="B290" s="1"/>
      <c r="C290" s="10"/>
      <c r="D290" s="10"/>
      <c r="E290" s="10"/>
      <c r="F290" s="10"/>
      <c r="G290" s="10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6" x14ac:dyDescent="0.3">
      <c r="A291" s="1"/>
      <c r="B291" s="1"/>
      <c r="C291" s="10"/>
      <c r="D291" s="10"/>
      <c r="E291" s="10"/>
      <c r="F291" s="10"/>
      <c r="G291" s="10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6" x14ac:dyDescent="0.3">
      <c r="A292" s="1"/>
      <c r="B292" s="1"/>
      <c r="C292" s="10"/>
      <c r="D292" s="10"/>
      <c r="E292" s="10"/>
      <c r="F292" s="10"/>
      <c r="G292" s="10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6" x14ac:dyDescent="0.3">
      <c r="A293" s="1"/>
      <c r="B293" s="1"/>
      <c r="C293" s="10"/>
      <c r="D293" s="10"/>
      <c r="E293" s="10"/>
      <c r="F293" s="10"/>
      <c r="G293" s="10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6" x14ac:dyDescent="0.3">
      <c r="A294" s="1"/>
      <c r="B294" s="1"/>
      <c r="C294" s="10"/>
      <c r="D294" s="10"/>
      <c r="E294" s="10"/>
      <c r="F294" s="10"/>
      <c r="G294" s="10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6" x14ac:dyDescent="0.3">
      <c r="A295" s="1"/>
      <c r="B295" s="1"/>
      <c r="C295" s="10"/>
      <c r="D295" s="10"/>
      <c r="E295" s="10"/>
      <c r="F295" s="10"/>
      <c r="G295" s="10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6" x14ac:dyDescent="0.3">
      <c r="A296" s="1"/>
      <c r="B296" s="1"/>
      <c r="C296" s="10"/>
      <c r="D296" s="10"/>
      <c r="E296" s="10"/>
      <c r="F296" s="10"/>
      <c r="G296" s="10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6" x14ac:dyDescent="0.3">
      <c r="A297" s="1"/>
      <c r="B297" s="1"/>
      <c r="C297" s="10"/>
      <c r="D297" s="10"/>
      <c r="E297" s="10"/>
      <c r="F297" s="10"/>
      <c r="G297" s="10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6" x14ac:dyDescent="0.3">
      <c r="A298" s="1"/>
      <c r="B298" s="1"/>
      <c r="C298" s="10"/>
      <c r="D298" s="10"/>
      <c r="E298" s="10"/>
      <c r="F298" s="10"/>
      <c r="G298" s="10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6" x14ac:dyDescent="0.3">
      <c r="A299" s="1"/>
      <c r="B299" s="1"/>
      <c r="C299" s="10"/>
      <c r="D299" s="10"/>
      <c r="E299" s="10"/>
      <c r="F299" s="10"/>
      <c r="G299" s="10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6" x14ac:dyDescent="0.3">
      <c r="A300" s="1"/>
      <c r="B300" s="1"/>
      <c r="C300" s="10"/>
      <c r="D300" s="10"/>
      <c r="E300" s="10"/>
      <c r="F300" s="10"/>
      <c r="G300" s="10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6" x14ac:dyDescent="0.3">
      <c r="A301" s="1"/>
      <c r="B301" s="1"/>
      <c r="C301" s="10"/>
      <c r="D301" s="10"/>
      <c r="E301" s="10"/>
      <c r="F301" s="10"/>
      <c r="G301" s="10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6" x14ac:dyDescent="0.3">
      <c r="A302" s="1"/>
      <c r="B302" s="1"/>
      <c r="C302" s="10"/>
      <c r="D302" s="10"/>
      <c r="E302" s="10"/>
      <c r="F302" s="10"/>
      <c r="G302" s="10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6" x14ac:dyDescent="0.3">
      <c r="A303" s="1"/>
      <c r="B303" s="1"/>
      <c r="C303" s="10"/>
      <c r="D303" s="10"/>
      <c r="E303" s="10"/>
      <c r="F303" s="10"/>
      <c r="G303" s="10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6" x14ac:dyDescent="0.3">
      <c r="A304" s="1"/>
      <c r="B304" s="1"/>
      <c r="C304" s="10"/>
      <c r="D304" s="10"/>
      <c r="E304" s="10"/>
      <c r="F304" s="10"/>
      <c r="G304" s="10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6" x14ac:dyDescent="0.3">
      <c r="A305" s="1"/>
      <c r="B305" s="1"/>
      <c r="C305" s="10"/>
      <c r="D305" s="10"/>
      <c r="E305" s="10"/>
      <c r="F305" s="10"/>
      <c r="G305" s="10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6" x14ac:dyDescent="0.3">
      <c r="A306" s="1"/>
      <c r="B306" s="1"/>
      <c r="C306" s="10"/>
      <c r="D306" s="10"/>
      <c r="E306" s="10"/>
      <c r="F306" s="10"/>
      <c r="G306" s="10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6" x14ac:dyDescent="0.3">
      <c r="A307" s="1"/>
      <c r="B307" s="1"/>
      <c r="C307" s="10"/>
      <c r="D307" s="10"/>
      <c r="E307" s="10"/>
      <c r="F307" s="10"/>
      <c r="G307" s="10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6" x14ac:dyDescent="0.3">
      <c r="A308" s="1"/>
      <c r="B308" s="1"/>
      <c r="C308" s="10"/>
      <c r="D308" s="10"/>
      <c r="E308" s="10"/>
      <c r="F308" s="10"/>
      <c r="G308" s="10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6" x14ac:dyDescent="0.3">
      <c r="A309" s="1"/>
      <c r="B309" s="1"/>
      <c r="C309" s="10"/>
      <c r="D309" s="10"/>
      <c r="E309" s="10"/>
      <c r="F309" s="10"/>
      <c r="G309" s="10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6" x14ac:dyDescent="0.3">
      <c r="A310" s="1"/>
      <c r="B310" s="1"/>
      <c r="C310" s="10"/>
      <c r="D310" s="10"/>
      <c r="E310" s="10"/>
      <c r="F310" s="10"/>
      <c r="G310" s="10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6" x14ac:dyDescent="0.3">
      <c r="A311" s="1"/>
      <c r="B311" s="1"/>
      <c r="C311" s="10"/>
      <c r="D311" s="10"/>
      <c r="E311" s="10"/>
      <c r="F311" s="10"/>
      <c r="G311" s="10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6" x14ac:dyDescent="0.3">
      <c r="A312" s="1"/>
      <c r="B312" s="1"/>
      <c r="C312" s="10"/>
      <c r="D312" s="10"/>
      <c r="E312" s="10"/>
      <c r="F312" s="10"/>
      <c r="G312" s="10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6" x14ac:dyDescent="0.3">
      <c r="A313" s="1"/>
      <c r="B313" s="1"/>
      <c r="C313" s="10"/>
      <c r="D313" s="10"/>
      <c r="E313" s="10"/>
      <c r="F313" s="10"/>
      <c r="G313" s="10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6" x14ac:dyDescent="0.3">
      <c r="A314" s="1"/>
      <c r="B314" s="1"/>
      <c r="C314" s="10"/>
      <c r="D314" s="10"/>
      <c r="E314" s="10"/>
      <c r="F314" s="10"/>
      <c r="G314" s="10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6" x14ac:dyDescent="0.3">
      <c r="A315" s="1"/>
      <c r="B315" s="1"/>
      <c r="C315" s="10"/>
      <c r="D315" s="10"/>
      <c r="E315" s="10"/>
      <c r="F315" s="10"/>
      <c r="G315" s="10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6" x14ac:dyDescent="0.3">
      <c r="A316" s="1"/>
      <c r="B316" s="1"/>
      <c r="C316" s="10"/>
      <c r="D316" s="10"/>
      <c r="E316" s="10"/>
      <c r="F316" s="10"/>
      <c r="G316" s="10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6" x14ac:dyDescent="0.3">
      <c r="A317" s="1"/>
      <c r="B317" s="1"/>
      <c r="C317" s="10"/>
      <c r="D317" s="10"/>
      <c r="E317" s="10"/>
      <c r="F317" s="10"/>
      <c r="G317" s="10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6" x14ac:dyDescent="0.3">
      <c r="A318" s="1"/>
      <c r="B318" s="1"/>
      <c r="C318" s="10"/>
      <c r="D318" s="10"/>
      <c r="E318" s="10"/>
      <c r="F318" s="10"/>
      <c r="G318" s="10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6" x14ac:dyDescent="0.3">
      <c r="A319" s="1"/>
      <c r="B319" s="1"/>
      <c r="C319" s="10"/>
      <c r="D319" s="10"/>
      <c r="E319" s="10"/>
      <c r="F319" s="10"/>
      <c r="G319" s="10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6" x14ac:dyDescent="0.3">
      <c r="A320" s="1"/>
      <c r="B320" s="1"/>
      <c r="C320" s="10"/>
      <c r="D320" s="10"/>
      <c r="E320" s="10"/>
      <c r="F320" s="10"/>
      <c r="G320" s="10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6" x14ac:dyDescent="0.3">
      <c r="A321" s="1"/>
      <c r="B321" s="1"/>
      <c r="C321" s="10"/>
      <c r="D321" s="10"/>
      <c r="E321" s="10"/>
      <c r="F321" s="10"/>
      <c r="G321" s="10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6" x14ac:dyDescent="0.3">
      <c r="A322" s="1"/>
      <c r="B322" s="1"/>
      <c r="C322" s="10"/>
      <c r="D322" s="10"/>
      <c r="E322" s="10"/>
      <c r="F322" s="10"/>
      <c r="G322" s="10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6" x14ac:dyDescent="0.3">
      <c r="A323" s="1"/>
      <c r="B323" s="1"/>
      <c r="C323" s="10"/>
      <c r="D323" s="10"/>
      <c r="E323" s="10"/>
      <c r="F323" s="10"/>
      <c r="G323" s="10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6" x14ac:dyDescent="0.3">
      <c r="A324" s="1"/>
      <c r="B324" s="1"/>
      <c r="C324" s="10"/>
      <c r="D324" s="10"/>
      <c r="E324" s="10"/>
      <c r="F324" s="10"/>
      <c r="G324" s="10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6" x14ac:dyDescent="0.3">
      <c r="A325" s="1"/>
      <c r="B325" s="1"/>
      <c r="C325" s="10"/>
      <c r="D325" s="10"/>
      <c r="E325" s="10"/>
      <c r="F325" s="10"/>
      <c r="G325" s="10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6" x14ac:dyDescent="0.3">
      <c r="A326" s="1"/>
      <c r="B326" s="1"/>
      <c r="C326" s="10"/>
      <c r="D326" s="10"/>
      <c r="E326" s="10"/>
      <c r="F326" s="10"/>
      <c r="G326" s="10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6" x14ac:dyDescent="0.3">
      <c r="A327" s="1"/>
      <c r="B327" s="1"/>
      <c r="C327" s="10"/>
      <c r="D327" s="10"/>
      <c r="E327" s="10"/>
      <c r="F327" s="10"/>
      <c r="G327" s="10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6" x14ac:dyDescent="0.3">
      <c r="A328" s="1"/>
      <c r="B328" s="1"/>
      <c r="C328" s="10"/>
      <c r="D328" s="10"/>
      <c r="E328" s="10"/>
      <c r="F328" s="10"/>
      <c r="G328" s="10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6" x14ac:dyDescent="0.3">
      <c r="A329" s="1"/>
      <c r="B329" s="1"/>
      <c r="C329" s="10"/>
      <c r="D329" s="10"/>
      <c r="E329" s="10"/>
      <c r="F329" s="10"/>
      <c r="G329" s="10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6" x14ac:dyDescent="0.3">
      <c r="A330" s="1"/>
      <c r="B330" s="1"/>
      <c r="C330" s="10"/>
      <c r="D330" s="10"/>
      <c r="E330" s="10"/>
      <c r="F330" s="10"/>
      <c r="G330" s="10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6" x14ac:dyDescent="0.3">
      <c r="A331" s="1"/>
      <c r="B331" s="1"/>
      <c r="C331" s="10"/>
      <c r="D331" s="10"/>
      <c r="E331" s="10"/>
      <c r="F331" s="10"/>
      <c r="G331" s="10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6" x14ac:dyDescent="0.3">
      <c r="A332" s="1"/>
      <c r="B332" s="1"/>
      <c r="C332" s="10"/>
      <c r="D332" s="10"/>
      <c r="E332" s="10"/>
      <c r="F332" s="10"/>
      <c r="G332" s="10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6" x14ac:dyDescent="0.3">
      <c r="A333" s="1"/>
      <c r="B333" s="1"/>
      <c r="C333" s="10"/>
      <c r="D333" s="10"/>
      <c r="E333" s="10"/>
      <c r="F333" s="10"/>
      <c r="G333" s="10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6" x14ac:dyDescent="0.3">
      <c r="A334" s="1"/>
      <c r="B334" s="1"/>
      <c r="C334" s="10"/>
      <c r="D334" s="10"/>
      <c r="E334" s="10"/>
      <c r="F334" s="10"/>
      <c r="G334" s="10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6" x14ac:dyDescent="0.3">
      <c r="A335" s="1"/>
      <c r="B335" s="1"/>
      <c r="C335" s="10"/>
      <c r="D335" s="10"/>
      <c r="E335" s="10"/>
      <c r="F335" s="10"/>
      <c r="G335" s="10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6" x14ac:dyDescent="0.3">
      <c r="A336" s="1"/>
      <c r="B336" s="1"/>
      <c r="C336" s="10"/>
      <c r="D336" s="10"/>
      <c r="E336" s="10"/>
      <c r="F336" s="10"/>
      <c r="G336" s="10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6" x14ac:dyDescent="0.3">
      <c r="A337" s="1"/>
      <c r="B337" s="1"/>
      <c r="C337" s="10"/>
      <c r="D337" s="10"/>
      <c r="E337" s="10"/>
      <c r="F337" s="10"/>
      <c r="G337" s="10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6" x14ac:dyDescent="0.3">
      <c r="A338" s="1"/>
      <c r="B338" s="1"/>
      <c r="C338" s="10"/>
      <c r="D338" s="10"/>
      <c r="E338" s="10"/>
      <c r="F338" s="10"/>
      <c r="G338" s="10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6" x14ac:dyDescent="0.3">
      <c r="A339" s="1"/>
      <c r="B339" s="1"/>
      <c r="C339" s="10"/>
      <c r="D339" s="10"/>
      <c r="E339" s="10"/>
      <c r="F339" s="10"/>
      <c r="G339" s="10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6" x14ac:dyDescent="0.3">
      <c r="A340" s="1"/>
      <c r="B340" s="1"/>
      <c r="C340" s="10"/>
      <c r="D340" s="10"/>
      <c r="E340" s="10"/>
      <c r="F340" s="10"/>
      <c r="G340" s="10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6" x14ac:dyDescent="0.3">
      <c r="A341" s="1"/>
      <c r="B341" s="1"/>
      <c r="C341" s="10"/>
      <c r="D341" s="10"/>
      <c r="E341" s="10"/>
      <c r="F341" s="10"/>
      <c r="G341" s="10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6" x14ac:dyDescent="0.3">
      <c r="A342" s="1"/>
      <c r="B342" s="1"/>
      <c r="C342" s="10"/>
      <c r="D342" s="10"/>
      <c r="E342" s="10"/>
      <c r="F342" s="10"/>
      <c r="G342" s="10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6" x14ac:dyDescent="0.3">
      <c r="A343" s="1"/>
      <c r="B343" s="1"/>
      <c r="C343" s="10"/>
      <c r="D343" s="10"/>
      <c r="E343" s="10"/>
      <c r="F343" s="10"/>
      <c r="G343" s="10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6" x14ac:dyDescent="0.3">
      <c r="A344" s="1"/>
      <c r="B344" s="1"/>
      <c r="C344" s="10"/>
      <c r="D344" s="10"/>
      <c r="E344" s="10"/>
      <c r="F344" s="10"/>
      <c r="G344" s="10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6" x14ac:dyDescent="0.3">
      <c r="A345" s="1"/>
      <c r="B345" s="1"/>
      <c r="C345" s="10"/>
      <c r="D345" s="10"/>
      <c r="E345" s="10"/>
      <c r="F345" s="10"/>
      <c r="G345" s="10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6" x14ac:dyDescent="0.3">
      <c r="A346" s="1"/>
      <c r="B346" s="1"/>
      <c r="C346" s="10"/>
      <c r="D346" s="10"/>
      <c r="E346" s="10"/>
      <c r="F346" s="10"/>
      <c r="G346" s="10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6" x14ac:dyDescent="0.3">
      <c r="A347" s="1"/>
      <c r="B347" s="1"/>
      <c r="C347" s="10"/>
      <c r="D347" s="10"/>
      <c r="E347" s="10"/>
      <c r="F347" s="10"/>
      <c r="G347" s="10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6" x14ac:dyDescent="0.3">
      <c r="A348" s="1"/>
      <c r="B348" s="1"/>
      <c r="C348" s="10"/>
      <c r="D348" s="10"/>
      <c r="E348" s="10"/>
      <c r="F348" s="10"/>
      <c r="G348" s="10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6" x14ac:dyDescent="0.3">
      <c r="A349" s="1"/>
      <c r="B349" s="1"/>
      <c r="C349" s="10"/>
      <c r="D349" s="10"/>
      <c r="E349" s="10"/>
      <c r="F349" s="10"/>
      <c r="G349" s="10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6" x14ac:dyDescent="0.3">
      <c r="A350" s="1"/>
      <c r="B350" s="1"/>
      <c r="C350" s="10"/>
      <c r="D350" s="10"/>
      <c r="E350" s="10"/>
      <c r="F350" s="10"/>
      <c r="G350" s="10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6" x14ac:dyDescent="0.3">
      <c r="A351" s="1"/>
      <c r="B351" s="1"/>
      <c r="C351" s="10"/>
      <c r="D351" s="10"/>
      <c r="E351" s="10"/>
      <c r="F351" s="10"/>
      <c r="G351" s="10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6" x14ac:dyDescent="0.3">
      <c r="A352" s="1"/>
      <c r="B352" s="1"/>
      <c r="C352" s="10"/>
      <c r="D352" s="10"/>
      <c r="E352" s="10"/>
      <c r="F352" s="10"/>
      <c r="G352" s="10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6" x14ac:dyDescent="0.3">
      <c r="A353" s="1"/>
      <c r="B353" s="1"/>
      <c r="C353" s="10"/>
      <c r="D353" s="10"/>
      <c r="E353" s="10"/>
      <c r="F353" s="10"/>
      <c r="G353" s="10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6" x14ac:dyDescent="0.3">
      <c r="A354" s="1"/>
      <c r="B354" s="1"/>
      <c r="C354" s="10"/>
      <c r="D354" s="10"/>
      <c r="E354" s="10"/>
      <c r="F354" s="10"/>
      <c r="G354" s="10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6" x14ac:dyDescent="0.3">
      <c r="A355" s="1"/>
      <c r="B355" s="1"/>
      <c r="C355" s="10"/>
      <c r="D355" s="10"/>
      <c r="E355" s="10"/>
      <c r="F355" s="10"/>
      <c r="G355" s="10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6" x14ac:dyDescent="0.3">
      <c r="A356" s="1"/>
      <c r="B356" s="1"/>
      <c r="C356" s="10"/>
      <c r="D356" s="10"/>
      <c r="E356" s="10"/>
      <c r="F356" s="10"/>
      <c r="G356" s="10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6" x14ac:dyDescent="0.3">
      <c r="A357" s="1"/>
      <c r="B357" s="1"/>
      <c r="C357" s="10"/>
      <c r="D357" s="10"/>
      <c r="E357" s="10"/>
      <c r="F357" s="10"/>
      <c r="G357" s="10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6" x14ac:dyDescent="0.3">
      <c r="A358" s="1"/>
      <c r="B358" s="1"/>
      <c r="C358" s="10"/>
      <c r="D358" s="10"/>
      <c r="E358" s="10"/>
      <c r="F358" s="10"/>
      <c r="G358" s="10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6" x14ac:dyDescent="0.3">
      <c r="A359" s="1"/>
      <c r="B359" s="1"/>
      <c r="C359" s="10"/>
      <c r="D359" s="10"/>
      <c r="E359" s="10"/>
      <c r="F359" s="10"/>
      <c r="G359" s="10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6" x14ac:dyDescent="0.3">
      <c r="A360" s="1"/>
      <c r="B360" s="1"/>
      <c r="C360" s="10"/>
      <c r="D360" s="10"/>
      <c r="E360" s="10"/>
      <c r="F360" s="10"/>
      <c r="G360" s="10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6" x14ac:dyDescent="0.3">
      <c r="A361" s="1"/>
      <c r="B361" s="1"/>
      <c r="C361" s="10"/>
      <c r="D361" s="10"/>
      <c r="E361" s="10"/>
      <c r="F361" s="10"/>
      <c r="G361" s="10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6" x14ac:dyDescent="0.3">
      <c r="A362" s="1"/>
      <c r="B362" s="1"/>
      <c r="C362" s="10"/>
      <c r="D362" s="10"/>
      <c r="E362" s="10"/>
      <c r="F362" s="10"/>
      <c r="G362" s="10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0"/>
      <c r="D363" s="10"/>
      <c r="E363" s="10"/>
      <c r="F363" s="10"/>
      <c r="G363" s="10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0"/>
      <c r="D364" s="10"/>
      <c r="E364" s="10"/>
      <c r="F364" s="10"/>
      <c r="G364" s="10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0"/>
      <c r="D365" s="10"/>
      <c r="E365" s="10"/>
      <c r="F365" s="10"/>
      <c r="G365" s="10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0"/>
      <c r="D366" s="10"/>
      <c r="E366" s="10"/>
      <c r="F366" s="10"/>
      <c r="G366" s="10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0"/>
      <c r="D367" s="10"/>
      <c r="E367" s="10"/>
      <c r="F367" s="10"/>
      <c r="G367" s="10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0"/>
      <c r="D368" s="10"/>
      <c r="E368" s="10"/>
      <c r="F368" s="10"/>
      <c r="G368" s="10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0"/>
      <c r="D369" s="10"/>
      <c r="E369" s="10"/>
      <c r="F369" s="10"/>
      <c r="G369" s="10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0"/>
      <c r="D370" s="10"/>
      <c r="E370" s="10"/>
      <c r="F370" s="10"/>
      <c r="G370" s="10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0"/>
      <c r="D371" s="10"/>
      <c r="E371" s="10"/>
      <c r="F371" s="10"/>
      <c r="G371" s="10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0"/>
      <c r="D372" s="10"/>
      <c r="E372" s="10"/>
      <c r="F372" s="10"/>
      <c r="G372" s="10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0"/>
      <c r="D373" s="10"/>
      <c r="E373" s="10"/>
      <c r="F373" s="10"/>
      <c r="G373" s="10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0"/>
      <c r="D374" s="10"/>
      <c r="E374" s="10"/>
      <c r="F374" s="10"/>
      <c r="G374" s="10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0"/>
      <c r="D375" s="10"/>
      <c r="E375" s="10"/>
      <c r="F375" s="10"/>
      <c r="G375" s="10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0"/>
      <c r="D376" s="10"/>
      <c r="E376" s="10"/>
      <c r="F376" s="10"/>
      <c r="G376" s="10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0"/>
      <c r="D377" s="10"/>
      <c r="E377" s="10"/>
      <c r="F377" s="10"/>
      <c r="G377" s="10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0"/>
      <c r="D378" s="10"/>
      <c r="E378" s="10"/>
      <c r="F378" s="10"/>
      <c r="G378" s="10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0"/>
      <c r="D379" s="10"/>
      <c r="E379" s="10"/>
      <c r="F379" s="10"/>
      <c r="G379" s="10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0"/>
      <c r="D380" s="10"/>
      <c r="E380" s="10"/>
      <c r="F380" s="10"/>
      <c r="G380" s="10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0"/>
      <c r="D381" s="10"/>
      <c r="E381" s="10"/>
      <c r="F381" s="10"/>
      <c r="G381" s="10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0"/>
      <c r="D382" s="10"/>
      <c r="E382" s="10"/>
      <c r="F382" s="10"/>
      <c r="G382" s="10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0"/>
      <c r="D383" s="10"/>
      <c r="E383" s="10"/>
      <c r="F383" s="10"/>
      <c r="G383" s="10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0"/>
      <c r="D384" s="10"/>
      <c r="E384" s="10"/>
      <c r="F384" s="10"/>
      <c r="G384" s="10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0"/>
      <c r="D385" s="10"/>
      <c r="E385" s="10"/>
      <c r="F385" s="10"/>
      <c r="G385" s="10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0"/>
      <c r="D386" s="10"/>
      <c r="E386" s="10"/>
      <c r="F386" s="10"/>
      <c r="G386" s="10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0"/>
      <c r="D387" s="10"/>
      <c r="E387" s="10"/>
      <c r="F387" s="10"/>
      <c r="G387" s="10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0"/>
      <c r="D388" s="10"/>
      <c r="E388" s="10"/>
      <c r="F388" s="10"/>
      <c r="G388" s="10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0"/>
      <c r="D389" s="10"/>
      <c r="E389" s="10"/>
      <c r="F389" s="10"/>
      <c r="G389" s="10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0"/>
      <c r="D390" s="10"/>
      <c r="E390" s="10"/>
      <c r="F390" s="10"/>
      <c r="G390" s="10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0"/>
      <c r="D391" s="10"/>
      <c r="E391" s="10"/>
      <c r="F391" s="10"/>
      <c r="G391" s="10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0"/>
      <c r="D392" s="10"/>
      <c r="E392" s="10"/>
      <c r="F392" s="10"/>
      <c r="G392" s="10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0"/>
      <c r="D393" s="10"/>
      <c r="E393" s="10"/>
      <c r="F393" s="10"/>
      <c r="G393" s="10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0"/>
      <c r="D394" s="10"/>
      <c r="E394" s="10"/>
      <c r="F394" s="10"/>
      <c r="G394" s="10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0"/>
      <c r="D395" s="10"/>
      <c r="E395" s="10"/>
      <c r="F395" s="10"/>
      <c r="G395" s="10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0"/>
      <c r="D396" s="10"/>
      <c r="E396" s="10"/>
      <c r="F396" s="10"/>
      <c r="G396" s="10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0"/>
      <c r="D397" s="10"/>
      <c r="E397" s="10"/>
      <c r="F397" s="10"/>
      <c r="G397" s="10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0"/>
      <c r="D398" s="10"/>
      <c r="E398" s="10"/>
      <c r="F398" s="10"/>
      <c r="G398" s="10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0"/>
      <c r="D399" s="10"/>
      <c r="E399" s="10"/>
      <c r="F399" s="10"/>
      <c r="G399" s="10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0"/>
      <c r="D400" s="10"/>
      <c r="E400" s="10"/>
      <c r="F400" s="10"/>
      <c r="G400" s="10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0"/>
      <c r="D401" s="10"/>
      <c r="E401" s="10"/>
      <c r="F401" s="10"/>
      <c r="G401" s="10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0"/>
      <c r="D402" s="10"/>
      <c r="E402" s="10"/>
      <c r="F402" s="10"/>
      <c r="G402" s="10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0"/>
      <c r="D403" s="10"/>
      <c r="E403" s="10"/>
      <c r="F403" s="10"/>
      <c r="G403" s="10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0"/>
      <c r="D404" s="10"/>
      <c r="E404" s="10"/>
      <c r="F404" s="10"/>
      <c r="G404" s="10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0"/>
      <c r="D405" s="10"/>
      <c r="E405" s="10"/>
      <c r="F405" s="10"/>
      <c r="G405" s="10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0"/>
      <c r="D406" s="10"/>
      <c r="E406" s="10"/>
      <c r="F406" s="10"/>
      <c r="G406" s="10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0"/>
      <c r="D407" s="10"/>
      <c r="E407" s="10"/>
      <c r="F407" s="10"/>
      <c r="G407" s="10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0"/>
      <c r="D408" s="10"/>
      <c r="E408" s="10"/>
      <c r="F408" s="10"/>
      <c r="G408" s="10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0"/>
      <c r="D409" s="10"/>
      <c r="E409" s="10"/>
      <c r="F409" s="10"/>
      <c r="G409" s="10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0"/>
      <c r="D410" s="10"/>
      <c r="E410" s="10"/>
      <c r="F410" s="10"/>
      <c r="G410" s="10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0"/>
      <c r="D411" s="10"/>
      <c r="E411" s="10"/>
      <c r="F411" s="10"/>
      <c r="G411" s="10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0"/>
      <c r="D412" s="10"/>
      <c r="E412" s="10"/>
      <c r="F412" s="10"/>
      <c r="G412" s="10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0"/>
      <c r="D413" s="10"/>
      <c r="E413" s="10"/>
      <c r="F413" s="10"/>
      <c r="G413" s="10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0"/>
      <c r="D414" s="10"/>
      <c r="E414" s="10"/>
      <c r="F414" s="10"/>
      <c r="G414" s="10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0"/>
      <c r="D415" s="10"/>
      <c r="E415" s="10"/>
      <c r="F415" s="10"/>
      <c r="G415" s="10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0"/>
      <c r="D416" s="10"/>
      <c r="E416" s="10"/>
      <c r="F416" s="10"/>
      <c r="G416" s="10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0"/>
      <c r="D417" s="10"/>
      <c r="E417" s="10"/>
      <c r="F417" s="10"/>
      <c r="G417" s="10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0"/>
      <c r="D418" s="10"/>
      <c r="E418" s="10"/>
      <c r="F418" s="10"/>
      <c r="G418" s="10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0"/>
      <c r="D419" s="10"/>
      <c r="E419" s="10"/>
      <c r="F419" s="10"/>
      <c r="G419" s="10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0"/>
      <c r="D420" s="10"/>
      <c r="E420" s="10"/>
      <c r="F420" s="10"/>
      <c r="G420" s="10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0"/>
      <c r="D421" s="10"/>
      <c r="E421" s="10"/>
      <c r="F421" s="10"/>
      <c r="G421" s="10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0"/>
      <c r="D422" s="10"/>
      <c r="E422" s="10"/>
      <c r="F422" s="10"/>
      <c r="G422" s="10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0"/>
      <c r="D423" s="10"/>
      <c r="E423" s="10"/>
      <c r="F423" s="10"/>
      <c r="G423" s="10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0"/>
      <c r="D424" s="10"/>
      <c r="E424" s="10"/>
      <c r="F424" s="10"/>
      <c r="G424" s="10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0"/>
      <c r="D425" s="10"/>
      <c r="E425" s="10"/>
      <c r="F425" s="10"/>
      <c r="G425" s="10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0"/>
      <c r="D426" s="10"/>
      <c r="E426" s="10"/>
      <c r="F426" s="10"/>
      <c r="G426" s="10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0"/>
      <c r="D427" s="10"/>
      <c r="E427" s="10"/>
      <c r="F427" s="10"/>
      <c r="G427" s="10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0"/>
      <c r="D428" s="10"/>
      <c r="E428" s="10"/>
      <c r="F428" s="10"/>
      <c r="G428" s="10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0"/>
      <c r="D429" s="10"/>
      <c r="E429" s="10"/>
      <c r="F429" s="10"/>
      <c r="G429" s="10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0"/>
      <c r="D430" s="10"/>
      <c r="E430" s="10"/>
      <c r="F430" s="10"/>
      <c r="G430" s="10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0"/>
      <c r="D431" s="10"/>
      <c r="E431" s="10"/>
      <c r="F431" s="10"/>
      <c r="G431" s="10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0"/>
      <c r="D432" s="10"/>
      <c r="E432" s="10"/>
      <c r="F432" s="10"/>
      <c r="G432" s="10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0"/>
      <c r="D433" s="10"/>
      <c r="E433" s="10"/>
      <c r="F433" s="10"/>
      <c r="G433" s="10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0"/>
      <c r="D434" s="10"/>
      <c r="E434" s="10"/>
      <c r="F434" s="10"/>
      <c r="G434" s="10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0"/>
      <c r="D435" s="10"/>
      <c r="E435" s="10"/>
      <c r="F435" s="10"/>
      <c r="G435" s="10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0"/>
      <c r="D436" s="10"/>
      <c r="E436" s="10"/>
      <c r="F436" s="10"/>
      <c r="G436" s="10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0"/>
      <c r="D437" s="10"/>
      <c r="E437" s="10"/>
      <c r="F437" s="10"/>
      <c r="G437" s="10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0"/>
      <c r="D438" s="10"/>
      <c r="E438" s="10"/>
      <c r="F438" s="10"/>
      <c r="G438" s="10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0"/>
      <c r="D439" s="10"/>
      <c r="E439" s="10"/>
      <c r="F439" s="10"/>
      <c r="G439" s="10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0"/>
      <c r="D440" s="10"/>
      <c r="E440" s="10"/>
      <c r="F440" s="10"/>
      <c r="G440" s="10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0"/>
      <c r="D441" s="10"/>
      <c r="E441" s="10"/>
      <c r="F441" s="10"/>
      <c r="G441" s="10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0"/>
      <c r="D442" s="10"/>
      <c r="E442" s="10"/>
      <c r="F442" s="10"/>
      <c r="G442" s="10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0"/>
      <c r="D443" s="10"/>
      <c r="E443" s="10"/>
      <c r="F443" s="10"/>
      <c r="G443" s="10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0"/>
      <c r="D444" s="10"/>
      <c r="E444" s="10"/>
      <c r="F444" s="10"/>
      <c r="G444" s="10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0"/>
      <c r="D445" s="10"/>
      <c r="E445" s="10"/>
      <c r="F445" s="10"/>
      <c r="G445" s="10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0"/>
      <c r="D446" s="10"/>
      <c r="E446" s="10"/>
      <c r="F446" s="10"/>
      <c r="G446" s="10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0"/>
      <c r="D447" s="10"/>
      <c r="E447" s="10"/>
      <c r="F447" s="10"/>
      <c r="G447" s="10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0"/>
      <c r="D448" s="10"/>
      <c r="E448" s="10"/>
      <c r="F448" s="10"/>
      <c r="G448" s="10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0"/>
      <c r="D449" s="10"/>
      <c r="E449" s="10"/>
      <c r="F449" s="10"/>
      <c r="G449" s="10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0"/>
      <c r="D450" s="10"/>
      <c r="E450" s="10"/>
      <c r="F450" s="10"/>
      <c r="G450" s="10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0"/>
      <c r="D451" s="10"/>
      <c r="E451" s="10"/>
      <c r="F451" s="10"/>
      <c r="G451" s="10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0"/>
      <c r="D452" s="10"/>
      <c r="E452" s="10"/>
      <c r="F452" s="10"/>
      <c r="G452" s="10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0"/>
      <c r="D453" s="10"/>
      <c r="E453" s="10"/>
      <c r="F453" s="10"/>
      <c r="G453" s="10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0"/>
      <c r="D454" s="10"/>
      <c r="E454" s="10"/>
      <c r="F454" s="10"/>
      <c r="G454" s="10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0"/>
      <c r="D455" s="10"/>
      <c r="E455" s="10"/>
      <c r="F455" s="10"/>
      <c r="G455" s="10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0"/>
      <c r="D456" s="10"/>
      <c r="E456" s="10"/>
      <c r="F456" s="10"/>
      <c r="G456" s="10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0"/>
      <c r="D457" s="10"/>
      <c r="E457" s="10"/>
      <c r="F457" s="10"/>
      <c r="G457" s="10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0"/>
      <c r="D458" s="10"/>
      <c r="E458" s="10"/>
      <c r="F458" s="10"/>
      <c r="G458" s="10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0"/>
      <c r="D459" s="10"/>
      <c r="E459" s="10"/>
      <c r="F459" s="10"/>
      <c r="G459" s="10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0"/>
      <c r="D460" s="10"/>
      <c r="E460" s="10"/>
      <c r="F460" s="10"/>
      <c r="G460" s="10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0"/>
      <c r="D461" s="10"/>
      <c r="E461" s="10"/>
      <c r="F461" s="10"/>
      <c r="G461" s="10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0"/>
      <c r="D462" s="10"/>
      <c r="E462" s="10"/>
      <c r="F462" s="10"/>
      <c r="G462" s="10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0"/>
      <c r="D463" s="10"/>
      <c r="E463" s="10"/>
      <c r="F463" s="10"/>
      <c r="G463" s="10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0"/>
      <c r="D464" s="10"/>
      <c r="E464" s="10"/>
      <c r="F464" s="10"/>
      <c r="G464" s="10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0"/>
      <c r="D465" s="10"/>
      <c r="E465" s="10"/>
      <c r="F465" s="10"/>
      <c r="G465" s="10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0"/>
      <c r="D466" s="10"/>
      <c r="E466" s="10"/>
      <c r="F466" s="10"/>
      <c r="G466" s="10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0"/>
      <c r="D467" s="10"/>
      <c r="E467" s="10"/>
      <c r="F467" s="10"/>
      <c r="G467" s="10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0"/>
      <c r="D468" s="10"/>
      <c r="E468" s="10"/>
      <c r="F468" s="10"/>
      <c r="G468" s="10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0"/>
      <c r="D469" s="10"/>
      <c r="E469" s="10"/>
      <c r="F469" s="10"/>
      <c r="G469" s="10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0"/>
      <c r="D470" s="10"/>
      <c r="E470" s="10"/>
      <c r="F470" s="10"/>
      <c r="G470" s="10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0"/>
      <c r="D471" s="10"/>
      <c r="E471" s="10"/>
      <c r="F471" s="10"/>
      <c r="G471" s="10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0"/>
      <c r="D472" s="10"/>
      <c r="E472" s="10"/>
      <c r="F472" s="10"/>
      <c r="G472" s="10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0"/>
      <c r="D473" s="10"/>
      <c r="E473" s="10"/>
      <c r="F473" s="10"/>
      <c r="G473" s="10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0"/>
      <c r="D474" s="10"/>
      <c r="E474" s="10"/>
      <c r="F474" s="10"/>
      <c r="G474" s="10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0"/>
      <c r="D475" s="10"/>
      <c r="E475" s="10"/>
      <c r="F475" s="10"/>
      <c r="G475" s="10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0"/>
      <c r="D476" s="10"/>
      <c r="E476" s="10"/>
      <c r="F476" s="10"/>
      <c r="G476" s="10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0"/>
      <c r="D477" s="10"/>
      <c r="E477" s="10"/>
      <c r="F477" s="10"/>
      <c r="G477" s="10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0"/>
      <c r="D478" s="10"/>
      <c r="E478" s="10"/>
      <c r="F478" s="10"/>
      <c r="G478" s="10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0"/>
      <c r="D479" s="10"/>
      <c r="E479" s="10"/>
      <c r="F479" s="10"/>
      <c r="G479" s="10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0"/>
      <c r="D480" s="10"/>
      <c r="E480" s="10"/>
      <c r="F480" s="10"/>
      <c r="G480" s="10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0"/>
      <c r="D481" s="10"/>
      <c r="E481" s="10"/>
      <c r="F481" s="10"/>
      <c r="G481" s="10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0"/>
      <c r="D482" s="10"/>
      <c r="E482" s="10"/>
      <c r="F482" s="10"/>
      <c r="G482" s="10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0"/>
      <c r="D483" s="10"/>
      <c r="E483" s="10"/>
      <c r="F483" s="10"/>
      <c r="G483" s="10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0"/>
      <c r="D484" s="10"/>
      <c r="E484" s="10"/>
      <c r="F484" s="10"/>
      <c r="G484" s="10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0"/>
      <c r="D485" s="10"/>
      <c r="E485" s="10"/>
      <c r="F485" s="10"/>
      <c r="G485" s="10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0"/>
      <c r="D486" s="10"/>
      <c r="E486" s="10"/>
      <c r="F486" s="10"/>
      <c r="G486" s="10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0"/>
      <c r="D487" s="10"/>
      <c r="E487" s="10"/>
      <c r="F487" s="10"/>
      <c r="G487" s="10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0"/>
      <c r="D488" s="10"/>
      <c r="E488" s="10"/>
      <c r="F488" s="10"/>
      <c r="G488" s="10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0"/>
      <c r="D489" s="10"/>
      <c r="E489" s="10"/>
      <c r="F489" s="10"/>
      <c r="G489" s="10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0"/>
      <c r="D490" s="10"/>
      <c r="E490" s="10"/>
      <c r="F490" s="10"/>
      <c r="G490" s="10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0"/>
      <c r="D491" s="10"/>
      <c r="E491" s="10"/>
      <c r="F491" s="10"/>
      <c r="G491" s="10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0"/>
      <c r="D492" s="10"/>
      <c r="E492" s="10"/>
      <c r="F492" s="10"/>
      <c r="G492" s="10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0"/>
      <c r="D493" s="10"/>
      <c r="E493" s="10"/>
      <c r="F493" s="10"/>
      <c r="G493" s="10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0"/>
      <c r="D494" s="10"/>
      <c r="E494" s="10"/>
      <c r="F494" s="10"/>
      <c r="G494" s="10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0"/>
      <c r="D495" s="10"/>
      <c r="E495" s="10"/>
      <c r="F495" s="10"/>
      <c r="G495" s="10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0"/>
      <c r="D496" s="10"/>
      <c r="E496" s="10"/>
      <c r="F496" s="10"/>
      <c r="G496" s="10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0"/>
      <c r="D497" s="10"/>
      <c r="E497" s="10"/>
      <c r="F497" s="10"/>
      <c r="G497" s="10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0"/>
      <c r="D498" s="10"/>
      <c r="E498" s="10"/>
      <c r="F498" s="10"/>
      <c r="G498" s="10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0"/>
      <c r="D499" s="10"/>
      <c r="E499" s="10"/>
      <c r="F499" s="10"/>
      <c r="G499" s="10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0"/>
      <c r="D500" s="10"/>
      <c r="E500" s="10"/>
      <c r="F500" s="10"/>
      <c r="G500" s="10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0"/>
      <c r="D501" s="10"/>
      <c r="E501" s="10"/>
      <c r="F501" s="10"/>
      <c r="G501" s="10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0"/>
      <c r="D502" s="10"/>
      <c r="E502" s="10"/>
      <c r="F502" s="10"/>
      <c r="G502" s="10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0"/>
      <c r="D503" s="10"/>
      <c r="E503" s="10"/>
      <c r="F503" s="10"/>
      <c r="G503" s="10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0"/>
      <c r="D504" s="10"/>
      <c r="E504" s="10"/>
      <c r="F504" s="10"/>
      <c r="G504" s="10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0"/>
      <c r="D505" s="10"/>
      <c r="E505" s="10"/>
      <c r="F505" s="10"/>
      <c r="G505" s="10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0"/>
      <c r="D506" s="10"/>
      <c r="E506" s="10"/>
      <c r="F506" s="10"/>
      <c r="G506" s="10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0"/>
      <c r="D507" s="10"/>
      <c r="E507" s="10"/>
      <c r="F507" s="10"/>
      <c r="G507" s="10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0"/>
      <c r="D508" s="10"/>
      <c r="E508" s="10"/>
      <c r="F508" s="10"/>
      <c r="G508" s="10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0"/>
      <c r="D509" s="10"/>
      <c r="E509" s="10"/>
      <c r="F509" s="10"/>
      <c r="G509" s="10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0"/>
      <c r="D510" s="10"/>
      <c r="E510" s="10"/>
      <c r="F510" s="10"/>
      <c r="G510" s="10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0"/>
      <c r="D511" s="10"/>
      <c r="E511" s="10"/>
      <c r="F511" s="10"/>
      <c r="G511" s="10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0"/>
      <c r="D512" s="10"/>
      <c r="E512" s="10"/>
      <c r="F512" s="10"/>
      <c r="G512" s="10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0"/>
      <c r="D513" s="10"/>
      <c r="E513" s="10"/>
      <c r="F513" s="10"/>
      <c r="G513" s="10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0"/>
      <c r="D514" s="10"/>
      <c r="E514" s="10"/>
      <c r="F514" s="10"/>
      <c r="G514" s="10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0"/>
      <c r="D515" s="10"/>
      <c r="E515" s="10"/>
      <c r="F515" s="10"/>
      <c r="G515" s="10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0"/>
      <c r="D516" s="10"/>
      <c r="E516" s="10"/>
      <c r="F516" s="10"/>
      <c r="G516" s="10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0"/>
      <c r="D517" s="10"/>
      <c r="E517" s="10"/>
      <c r="F517" s="10"/>
      <c r="G517" s="10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0"/>
      <c r="D518" s="10"/>
      <c r="E518" s="10"/>
      <c r="F518" s="10"/>
      <c r="G518" s="10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0"/>
      <c r="D519" s="10"/>
      <c r="E519" s="10"/>
      <c r="F519" s="10"/>
      <c r="G519" s="10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0"/>
      <c r="D520" s="10"/>
      <c r="E520" s="10"/>
      <c r="F520" s="10"/>
      <c r="G520" s="10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0"/>
      <c r="D521" s="10"/>
      <c r="E521" s="10"/>
      <c r="F521" s="10"/>
      <c r="G521" s="10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0"/>
      <c r="D522" s="10"/>
      <c r="E522" s="10"/>
      <c r="F522" s="10"/>
      <c r="G522" s="10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0"/>
      <c r="D523" s="10"/>
      <c r="E523" s="10"/>
      <c r="F523" s="10"/>
      <c r="G523" s="10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0"/>
      <c r="D524" s="10"/>
      <c r="E524" s="10"/>
      <c r="F524" s="10"/>
      <c r="G524" s="10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0"/>
      <c r="D525" s="10"/>
      <c r="E525" s="10"/>
      <c r="F525" s="10"/>
      <c r="G525" s="10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0"/>
      <c r="D526" s="10"/>
      <c r="E526" s="10"/>
      <c r="F526" s="10"/>
      <c r="G526" s="10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0"/>
      <c r="D527" s="10"/>
      <c r="E527" s="10"/>
      <c r="F527" s="10"/>
      <c r="G527" s="10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0"/>
      <c r="D528" s="10"/>
      <c r="E528" s="10"/>
      <c r="F528" s="10"/>
      <c r="G528" s="10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0"/>
      <c r="D529" s="10"/>
      <c r="E529" s="10"/>
      <c r="F529" s="10"/>
      <c r="G529" s="10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0"/>
      <c r="D530" s="10"/>
      <c r="E530" s="10"/>
      <c r="F530" s="10"/>
      <c r="G530" s="10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0"/>
      <c r="D531" s="10"/>
      <c r="E531" s="10"/>
      <c r="F531" s="10"/>
      <c r="G531" s="10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0"/>
      <c r="D532" s="10"/>
      <c r="E532" s="10"/>
      <c r="F532" s="10"/>
      <c r="G532" s="10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0"/>
      <c r="D533" s="10"/>
      <c r="E533" s="10"/>
      <c r="F533" s="10"/>
      <c r="G533" s="10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0"/>
      <c r="D534" s="10"/>
      <c r="E534" s="10"/>
      <c r="F534" s="10"/>
      <c r="G534" s="10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0"/>
      <c r="D535" s="10"/>
      <c r="E535" s="10"/>
      <c r="F535" s="10"/>
      <c r="G535" s="10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0"/>
      <c r="D536" s="10"/>
      <c r="E536" s="10"/>
      <c r="F536" s="10"/>
      <c r="G536" s="10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0"/>
      <c r="D537" s="10"/>
      <c r="E537" s="10"/>
      <c r="F537" s="10"/>
      <c r="G537" s="10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0"/>
      <c r="D538" s="10"/>
      <c r="E538" s="10"/>
      <c r="F538" s="10"/>
      <c r="G538" s="10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0"/>
      <c r="D539" s="10"/>
      <c r="E539" s="10"/>
      <c r="F539" s="10"/>
      <c r="G539" s="10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0"/>
      <c r="D540" s="10"/>
      <c r="E540" s="10"/>
      <c r="F540" s="10"/>
      <c r="G540" s="10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0"/>
      <c r="D541" s="10"/>
      <c r="E541" s="10"/>
      <c r="F541" s="10"/>
      <c r="G541" s="10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0"/>
      <c r="D542" s="10"/>
      <c r="E542" s="10"/>
      <c r="F542" s="10"/>
      <c r="G542" s="10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0"/>
      <c r="D543" s="10"/>
      <c r="E543" s="10"/>
      <c r="F543" s="10"/>
      <c r="G543" s="10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0"/>
      <c r="D544" s="10"/>
      <c r="E544" s="10"/>
      <c r="F544" s="10"/>
      <c r="G544" s="10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0"/>
      <c r="D545" s="10"/>
      <c r="E545" s="10"/>
      <c r="F545" s="10"/>
      <c r="G545" s="10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0"/>
      <c r="D546" s="10"/>
      <c r="E546" s="10"/>
      <c r="F546" s="10"/>
      <c r="G546" s="10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0"/>
      <c r="D547" s="10"/>
      <c r="E547" s="10"/>
      <c r="F547" s="10"/>
      <c r="G547" s="10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0"/>
      <c r="D548" s="10"/>
      <c r="E548" s="10"/>
      <c r="F548" s="10"/>
      <c r="G548" s="10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0"/>
      <c r="D549" s="10"/>
      <c r="E549" s="10"/>
      <c r="F549" s="10"/>
      <c r="G549" s="10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0"/>
      <c r="D550" s="10"/>
      <c r="E550" s="10"/>
      <c r="F550" s="10"/>
      <c r="G550" s="10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0"/>
      <c r="D551" s="10"/>
      <c r="E551" s="10"/>
      <c r="F551" s="10"/>
      <c r="G551" s="10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0"/>
      <c r="D552" s="10"/>
      <c r="E552" s="10"/>
      <c r="F552" s="10"/>
      <c r="G552" s="10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0"/>
      <c r="D553" s="10"/>
      <c r="E553" s="10"/>
      <c r="F553" s="10"/>
      <c r="G553" s="10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0"/>
      <c r="D554" s="10"/>
      <c r="E554" s="10"/>
      <c r="F554" s="10"/>
      <c r="G554" s="10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0"/>
      <c r="D555" s="10"/>
      <c r="E555" s="10"/>
      <c r="F555" s="10"/>
      <c r="G555" s="10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0"/>
      <c r="D556" s="10"/>
      <c r="E556" s="10"/>
      <c r="F556" s="10"/>
      <c r="G556" s="10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0"/>
      <c r="D557" s="10"/>
      <c r="E557" s="10"/>
      <c r="F557" s="10"/>
      <c r="G557" s="10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0"/>
      <c r="D558" s="10"/>
      <c r="E558" s="10"/>
      <c r="F558" s="10"/>
      <c r="G558" s="10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0"/>
      <c r="D559" s="10"/>
      <c r="E559" s="10"/>
      <c r="F559" s="10"/>
      <c r="G559" s="10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0"/>
      <c r="D560" s="10"/>
      <c r="E560" s="10"/>
      <c r="F560" s="10"/>
      <c r="G560" s="10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0"/>
      <c r="D561" s="10"/>
      <c r="E561" s="10"/>
      <c r="F561" s="10"/>
      <c r="G561" s="10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0"/>
      <c r="D562" s="10"/>
      <c r="E562" s="10"/>
      <c r="F562" s="10"/>
      <c r="G562" s="10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0"/>
      <c r="D563" s="10"/>
      <c r="E563" s="10"/>
      <c r="F563" s="10"/>
      <c r="G563" s="10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0"/>
      <c r="D564" s="10"/>
      <c r="E564" s="10"/>
      <c r="F564" s="10"/>
      <c r="G564" s="10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0"/>
      <c r="D565" s="10"/>
      <c r="E565" s="10"/>
      <c r="F565" s="10"/>
      <c r="G565" s="10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0"/>
      <c r="D566" s="10"/>
      <c r="E566" s="10"/>
      <c r="F566" s="10"/>
      <c r="G566" s="10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0"/>
      <c r="D567" s="10"/>
      <c r="E567" s="10"/>
      <c r="F567" s="10"/>
      <c r="G567" s="10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0"/>
      <c r="D568" s="10"/>
      <c r="E568" s="10"/>
      <c r="F568" s="10"/>
      <c r="G568" s="10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0"/>
      <c r="D569" s="10"/>
      <c r="E569" s="10"/>
      <c r="F569" s="10"/>
      <c r="G569" s="10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0"/>
      <c r="D570" s="10"/>
      <c r="E570" s="10"/>
      <c r="F570" s="10"/>
      <c r="G570" s="10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0"/>
      <c r="D571" s="10"/>
      <c r="E571" s="10"/>
      <c r="F571" s="10"/>
      <c r="G571" s="10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0"/>
      <c r="D572" s="10"/>
      <c r="E572" s="10"/>
      <c r="F572" s="10"/>
      <c r="G572" s="10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0"/>
      <c r="D573" s="10"/>
      <c r="E573" s="10"/>
      <c r="F573" s="10"/>
      <c r="G573" s="10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0"/>
      <c r="D574" s="10"/>
      <c r="E574" s="10"/>
      <c r="F574" s="10"/>
      <c r="G574" s="10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0"/>
      <c r="D575" s="10"/>
      <c r="E575" s="10"/>
      <c r="F575" s="10"/>
      <c r="G575" s="10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0"/>
      <c r="D576" s="10"/>
      <c r="E576" s="10"/>
      <c r="F576" s="10"/>
      <c r="G576" s="10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0"/>
      <c r="D577" s="10"/>
      <c r="E577" s="10"/>
      <c r="F577" s="10"/>
      <c r="G577" s="10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0"/>
      <c r="D578" s="10"/>
      <c r="E578" s="10"/>
      <c r="F578" s="10"/>
      <c r="G578" s="10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0"/>
      <c r="D579" s="10"/>
      <c r="E579" s="10"/>
      <c r="F579" s="10"/>
      <c r="G579" s="10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0"/>
      <c r="D580" s="10"/>
      <c r="E580" s="10"/>
      <c r="F580" s="10"/>
      <c r="G580" s="10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0"/>
      <c r="D581" s="10"/>
      <c r="E581" s="10"/>
      <c r="F581" s="10"/>
      <c r="G581" s="10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0"/>
      <c r="D582" s="10"/>
      <c r="E582" s="10"/>
      <c r="F582" s="10"/>
      <c r="G582" s="10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0"/>
      <c r="D583" s="10"/>
      <c r="E583" s="10"/>
      <c r="F583" s="10"/>
      <c r="G583" s="10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0"/>
      <c r="D584" s="10"/>
      <c r="E584" s="10"/>
      <c r="F584" s="10"/>
      <c r="G584" s="10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0"/>
      <c r="D585" s="10"/>
      <c r="E585" s="10"/>
      <c r="F585" s="10"/>
      <c r="G585" s="10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0"/>
      <c r="D586" s="10"/>
      <c r="E586" s="10"/>
      <c r="F586" s="10"/>
      <c r="G586" s="10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0"/>
      <c r="D587" s="10"/>
      <c r="E587" s="10"/>
      <c r="F587" s="10"/>
      <c r="G587" s="10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0"/>
      <c r="D588" s="10"/>
      <c r="E588" s="10"/>
      <c r="F588" s="10"/>
      <c r="G588" s="10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0"/>
      <c r="D589" s="10"/>
      <c r="E589" s="10"/>
      <c r="F589" s="10"/>
      <c r="G589" s="10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0"/>
      <c r="D590" s="10"/>
      <c r="E590" s="10"/>
      <c r="F590" s="10"/>
      <c r="G590" s="10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0"/>
      <c r="D591" s="10"/>
      <c r="E591" s="10"/>
      <c r="F591" s="10"/>
      <c r="G591" s="10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0"/>
      <c r="D592" s="10"/>
      <c r="E592" s="10"/>
      <c r="F592" s="10"/>
      <c r="G592" s="10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0"/>
      <c r="D593" s="10"/>
      <c r="E593" s="10"/>
      <c r="F593" s="10"/>
      <c r="G593" s="10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0"/>
      <c r="D594" s="10"/>
      <c r="E594" s="10"/>
      <c r="F594" s="10"/>
      <c r="G594" s="10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0"/>
      <c r="D595" s="10"/>
      <c r="E595" s="10"/>
      <c r="F595" s="10"/>
      <c r="G595" s="10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0"/>
      <c r="D596" s="10"/>
      <c r="E596" s="10"/>
      <c r="F596" s="10"/>
      <c r="G596" s="10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0"/>
      <c r="D597" s="10"/>
      <c r="E597" s="10"/>
      <c r="F597" s="10"/>
      <c r="G597" s="10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0"/>
      <c r="D598" s="10"/>
      <c r="E598" s="10"/>
      <c r="F598" s="10"/>
      <c r="G598" s="10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0"/>
      <c r="D599" s="10"/>
      <c r="E599" s="10"/>
      <c r="F599" s="10"/>
      <c r="G599" s="10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0"/>
      <c r="D600" s="10"/>
      <c r="E600" s="10"/>
      <c r="F600" s="10"/>
      <c r="G600" s="10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0"/>
      <c r="D601" s="10"/>
      <c r="E601" s="10"/>
      <c r="F601" s="10"/>
      <c r="G601" s="10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0"/>
      <c r="D602" s="10"/>
      <c r="E602" s="10"/>
      <c r="F602" s="10"/>
      <c r="G602" s="10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0"/>
      <c r="D603" s="10"/>
      <c r="E603" s="10"/>
      <c r="F603" s="10"/>
      <c r="G603" s="10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0"/>
      <c r="D604" s="10"/>
      <c r="E604" s="10"/>
      <c r="F604" s="10"/>
      <c r="G604" s="10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0"/>
      <c r="D605" s="10"/>
      <c r="E605" s="10"/>
      <c r="F605" s="10"/>
      <c r="G605" s="10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0"/>
      <c r="D606" s="10"/>
      <c r="E606" s="10"/>
      <c r="F606" s="10"/>
      <c r="G606" s="10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0"/>
      <c r="D607" s="10"/>
      <c r="E607" s="10"/>
      <c r="F607" s="10"/>
      <c r="G607" s="10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0"/>
      <c r="D608" s="10"/>
      <c r="E608" s="10"/>
      <c r="F608" s="10"/>
      <c r="G608" s="10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0"/>
      <c r="D609" s="10"/>
      <c r="E609" s="10"/>
      <c r="F609" s="10"/>
      <c r="G609" s="10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0"/>
      <c r="D610" s="10"/>
      <c r="E610" s="10"/>
      <c r="F610" s="10"/>
      <c r="G610" s="10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0"/>
      <c r="D611" s="10"/>
      <c r="E611" s="10"/>
      <c r="F611" s="10"/>
      <c r="G611" s="10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0"/>
      <c r="D612" s="10"/>
      <c r="E612" s="10"/>
      <c r="F612" s="10"/>
      <c r="G612" s="10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0"/>
      <c r="D613" s="10"/>
      <c r="E613" s="10"/>
      <c r="F613" s="10"/>
      <c r="G613" s="10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0"/>
      <c r="D614" s="10"/>
      <c r="E614" s="10"/>
      <c r="F614" s="10"/>
      <c r="G614" s="10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0"/>
      <c r="D615" s="10"/>
      <c r="E615" s="10"/>
      <c r="F615" s="10"/>
      <c r="G615" s="10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0"/>
      <c r="D616" s="10"/>
      <c r="E616" s="10"/>
      <c r="F616" s="10"/>
      <c r="G616" s="10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0"/>
      <c r="D617" s="10"/>
      <c r="E617" s="10"/>
      <c r="F617" s="10"/>
      <c r="G617" s="10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0"/>
      <c r="D618" s="10"/>
      <c r="E618" s="10"/>
      <c r="F618" s="10"/>
      <c r="G618" s="10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0"/>
      <c r="D619" s="10"/>
      <c r="E619" s="10"/>
      <c r="F619" s="10"/>
      <c r="G619" s="10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0"/>
      <c r="D620" s="10"/>
      <c r="E620" s="10"/>
      <c r="F620" s="10"/>
      <c r="G620" s="10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0"/>
      <c r="D621" s="10"/>
      <c r="E621" s="10"/>
      <c r="F621" s="10"/>
      <c r="G621" s="10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0"/>
      <c r="D622" s="10"/>
      <c r="E622" s="10"/>
      <c r="F622" s="10"/>
      <c r="G622" s="10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0"/>
      <c r="D623" s="10"/>
      <c r="E623" s="10"/>
      <c r="F623" s="10"/>
      <c r="G623" s="10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0"/>
      <c r="D624" s="10"/>
      <c r="E624" s="10"/>
      <c r="F624" s="10"/>
      <c r="G624" s="10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0"/>
      <c r="D625" s="10"/>
      <c r="E625" s="10"/>
      <c r="F625" s="10"/>
      <c r="G625" s="10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0"/>
      <c r="D626" s="10"/>
      <c r="E626" s="10"/>
      <c r="F626" s="10"/>
      <c r="G626" s="10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0"/>
      <c r="D627" s="10"/>
      <c r="E627" s="10"/>
      <c r="F627" s="10"/>
      <c r="G627" s="10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0"/>
      <c r="D628" s="10"/>
      <c r="E628" s="10"/>
      <c r="F628" s="10"/>
      <c r="G628" s="10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0"/>
      <c r="D629" s="10"/>
      <c r="E629" s="10"/>
      <c r="F629" s="10"/>
      <c r="G629" s="10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0"/>
      <c r="D630" s="10"/>
      <c r="E630" s="10"/>
      <c r="F630" s="10"/>
      <c r="G630" s="10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0"/>
      <c r="D631" s="10"/>
      <c r="E631" s="10"/>
      <c r="F631" s="10"/>
      <c r="G631" s="10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0"/>
      <c r="D632" s="10"/>
      <c r="E632" s="10"/>
      <c r="F632" s="10"/>
      <c r="G632" s="10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0"/>
      <c r="D633" s="10"/>
      <c r="E633" s="10"/>
      <c r="F633" s="10"/>
      <c r="G633" s="10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0"/>
      <c r="D634" s="10"/>
      <c r="E634" s="10"/>
      <c r="F634" s="10"/>
      <c r="G634" s="10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0"/>
      <c r="D635" s="10"/>
      <c r="E635" s="10"/>
      <c r="F635" s="10"/>
      <c r="G635" s="10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0"/>
      <c r="D636" s="10"/>
      <c r="E636" s="10"/>
      <c r="F636" s="10"/>
      <c r="G636" s="10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0"/>
      <c r="D637" s="10"/>
      <c r="E637" s="10"/>
      <c r="F637" s="10"/>
      <c r="G637" s="10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0"/>
      <c r="D638" s="10"/>
      <c r="E638" s="10"/>
      <c r="F638" s="10"/>
      <c r="G638" s="10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0"/>
      <c r="D639" s="10"/>
      <c r="E639" s="10"/>
      <c r="F639" s="10"/>
      <c r="G639" s="10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0"/>
      <c r="D640" s="10"/>
      <c r="E640" s="10"/>
      <c r="F640" s="10"/>
      <c r="G640" s="10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0"/>
      <c r="D641" s="10"/>
      <c r="E641" s="10"/>
      <c r="F641" s="10"/>
      <c r="G641" s="10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0"/>
      <c r="D642" s="10"/>
      <c r="E642" s="10"/>
      <c r="F642" s="10"/>
      <c r="G642" s="10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0"/>
      <c r="D643" s="10"/>
      <c r="E643" s="10"/>
      <c r="F643" s="10"/>
      <c r="G643" s="10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0"/>
      <c r="D644" s="10"/>
      <c r="E644" s="10"/>
      <c r="F644" s="10"/>
      <c r="G644" s="10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0"/>
      <c r="D645" s="10"/>
      <c r="E645" s="10"/>
      <c r="F645" s="10"/>
      <c r="G645" s="10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0"/>
      <c r="D646" s="10"/>
      <c r="E646" s="10"/>
      <c r="F646" s="10"/>
      <c r="G646" s="10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0"/>
      <c r="D647" s="10"/>
      <c r="E647" s="10"/>
      <c r="F647" s="10"/>
      <c r="G647" s="10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0"/>
      <c r="D648" s="10"/>
      <c r="E648" s="10"/>
      <c r="F648" s="10"/>
      <c r="G648" s="10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0"/>
      <c r="D649" s="10"/>
      <c r="E649" s="10"/>
      <c r="F649" s="10"/>
      <c r="G649" s="10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0"/>
      <c r="D650" s="10"/>
      <c r="E650" s="10"/>
      <c r="F650" s="10"/>
      <c r="G650" s="10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0"/>
      <c r="D651" s="10"/>
      <c r="E651" s="10"/>
      <c r="F651" s="10"/>
      <c r="G651" s="10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0"/>
      <c r="D652" s="10"/>
      <c r="E652" s="10"/>
      <c r="F652" s="10"/>
      <c r="G652" s="10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0"/>
      <c r="D653" s="10"/>
      <c r="E653" s="10"/>
      <c r="F653" s="10"/>
      <c r="G653" s="10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0"/>
      <c r="D654" s="10"/>
      <c r="E654" s="10"/>
      <c r="F654" s="10"/>
      <c r="G654" s="10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0"/>
      <c r="D655" s="10"/>
      <c r="E655" s="10"/>
      <c r="F655" s="10"/>
      <c r="G655" s="10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0"/>
      <c r="D656" s="10"/>
      <c r="E656" s="10"/>
      <c r="F656" s="10"/>
      <c r="G656" s="10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0"/>
      <c r="D657" s="10"/>
      <c r="E657" s="10"/>
      <c r="F657" s="10"/>
      <c r="G657" s="10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0"/>
      <c r="D658" s="10"/>
      <c r="E658" s="10"/>
      <c r="F658" s="10"/>
      <c r="G658" s="10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0"/>
      <c r="D659" s="10"/>
      <c r="E659" s="10"/>
      <c r="F659" s="10"/>
      <c r="G659" s="10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0"/>
      <c r="D660" s="10"/>
      <c r="E660" s="10"/>
      <c r="F660" s="10"/>
      <c r="G660" s="10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0"/>
      <c r="D661" s="10"/>
      <c r="E661" s="10"/>
      <c r="F661" s="10"/>
      <c r="G661" s="10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0"/>
      <c r="D662" s="10"/>
      <c r="E662" s="10"/>
      <c r="F662" s="10"/>
      <c r="G662" s="10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0"/>
      <c r="D663" s="10"/>
      <c r="E663" s="10"/>
      <c r="F663" s="10"/>
      <c r="G663" s="10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0"/>
      <c r="D664" s="10"/>
      <c r="E664" s="10"/>
      <c r="F664" s="10"/>
      <c r="G664" s="10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0"/>
      <c r="D665" s="10"/>
      <c r="E665" s="10"/>
      <c r="F665" s="10"/>
      <c r="G665" s="10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0"/>
      <c r="D666" s="10"/>
      <c r="E666" s="10"/>
      <c r="F666" s="10"/>
      <c r="G666" s="10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0"/>
      <c r="D667" s="10"/>
      <c r="E667" s="10"/>
      <c r="F667" s="10"/>
      <c r="G667" s="10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0"/>
      <c r="D668" s="10"/>
      <c r="E668" s="10"/>
      <c r="F668" s="10"/>
      <c r="G668" s="10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0"/>
      <c r="D669" s="10"/>
      <c r="E669" s="10"/>
      <c r="F669" s="10"/>
      <c r="G669" s="10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0"/>
      <c r="D670" s="10"/>
      <c r="E670" s="10"/>
      <c r="F670" s="10"/>
      <c r="G670" s="10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0"/>
      <c r="D671" s="10"/>
      <c r="E671" s="10"/>
      <c r="F671" s="10"/>
      <c r="G671" s="10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0"/>
      <c r="D672" s="10"/>
      <c r="E672" s="10"/>
      <c r="F672" s="10"/>
      <c r="G672" s="10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0"/>
      <c r="D673" s="10"/>
      <c r="E673" s="10"/>
      <c r="F673" s="10"/>
      <c r="G673" s="10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0"/>
      <c r="D674" s="10"/>
      <c r="E674" s="10"/>
      <c r="F674" s="10"/>
      <c r="G674" s="10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0"/>
      <c r="D675" s="10"/>
      <c r="E675" s="10"/>
      <c r="F675" s="10"/>
      <c r="G675" s="10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0"/>
      <c r="D676" s="10"/>
      <c r="E676" s="10"/>
      <c r="F676" s="10"/>
      <c r="G676" s="10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0"/>
      <c r="D677" s="10"/>
      <c r="E677" s="10"/>
      <c r="F677" s="10"/>
      <c r="G677" s="10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0"/>
      <c r="D678" s="10"/>
      <c r="E678" s="10"/>
      <c r="F678" s="10"/>
      <c r="G678" s="10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0"/>
      <c r="D679" s="10"/>
      <c r="E679" s="10"/>
      <c r="F679" s="10"/>
      <c r="G679" s="10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0"/>
      <c r="D680" s="10"/>
      <c r="E680" s="10"/>
      <c r="F680" s="10"/>
      <c r="G680" s="10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0"/>
      <c r="D681" s="10"/>
      <c r="E681" s="10"/>
      <c r="F681" s="10"/>
      <c r="G681" s="10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0"/>
      <c r="D682" s="10"/>
      <c r="E682" s="10"/>
      <c r="F682" s="10"/>
      <c r="G682" s="10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0"/>
      <c r="D683" s="10"/>
      <c r="E683" s="10"/>
      <c r="F683" s="10"/>
      <c r="G683" s="10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0"/>
      <c r="D684" s="10"/>
      <c r="E684" s="10"/>
      <c r="F684" s="10"/>
      <c r="G684" s="10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0"/>
      <c r="D685" s="10"/>
      <c r="E685" s="10"/>
      <c r="F685" s="10"/>
      <c r="G685" s="10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0"/>
      <c r="D686" s="10"/>
      <c r="E686" s="10"/>
      <c r="F686" s="10"/>
      <c r="G686" s="10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0"/>
      <c r="D687" s="10"/>
      <c r="E687" s="10"/>
      <c r="F687" s="10"/>
      <c r="G687" s="10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0"/>
      <c r="D688" s="10"/>
      <c r="E688" s="10"/>
      <c r="F688" s="10"/>
      <c r="G688" s="10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0"/>
      <c r="D689" s="10"/>
      <c r="E689" s="10"/>
      <c r="F689" s="10"/>
      <c r="G689" s="10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0"/>
      <c r="D690" s="10"/>
      <c r="E690" s="10"/>
      <c r="F690" s="10"/>
      <c r="G690" s="10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0"/>
      <c r="D691" s="10"/>
      <c r="E691" s="10"/>
      <c r="F691" s="10"/>
      <c r="G691" s="10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0"/>
      <c r="D692" s="10"/>
      <c r="E692" s="10"/>
      <c r="F692" s="10"/>
      <c r="G692" s="10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0"/>
      <c r="D693" s="10"/>
      <c r="E693" s="10"/>
      <c r="F693" s="10"/>
      <c r="G693" s="10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0"/>
      <c r="D694" s="10"/>
      <c r="E694" s="10"/>
      <c r="F694" s="10"/>
      <c r="G694" s="10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0"/>
      <c r="D695" s="10"/>
      <c r="E695" s="10"/>
      <c r="F695" s="10"/>
      <c r="G695" s="10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0"/>
      <c r="D696" s="10"/>
      <c r="E696" s="10"/>
      <c r="F696" s="10"/>
      <c r="G696" s="10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0"/>
      <c r="D697" s="10"/>
      <c r="E697" s="10"/>
      <c r="F697" s="10"/>
      <c r="G697" s="10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0"/>
      <c r="D698" s="10"/>
      <c r="E698" s="10"/>
      <c r="F698" s="10"/>
      <c r="G698" s="10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0"/>
      <c r="D699" s="10"/>
      <c r="E699" s="10"/>
      <c r="F699" s="10"/>
      <c r="G699" s="10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0"/>
      <c r="D700" s="10"/>
      <c r="E700" s="10"/>
      <c r="F700" s="10"/>
      <c r="G700" s="10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0"/>
      <c r="D701" s="10"/>
      <c r="E701" s="10"/>
      <c r="F701" s="10"/>
      <c r="G701" s="10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0"/>
      <c r="D702" s="10"/>
      <c r="E702" s="10"/>
      <c r="F702" s="10"/>
      <c r="G702" s="10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0"/>
      <c r="D703" s="10"/>
      <c r="E703" s="10"/>
      <c r="F703" s="10"/>
      <c r="G703" s="10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0"/>
      <c r="D704" s="10"/>
      <c r="E704" s="10"/>
      <c r="F704" s="10"/>
      <c r="G704" s="10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0"/>
      <c r="D705" s="10"/>
      <c r="E705" s="10"/>
      <c r="F705" s="10"/>
      <c r="G705" s="10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0"/>
      <c r="D706" s="10"/>
      <c r="E706" s="10"/>
      <c r="F706" s="10"/>
      <c r="G706" s="10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0"/>
      <c r="D707" s="10"/>
      <c r="E707" s="10"/>
      <c r="F707" s="10"/>
      <c r="G707" s="10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0"/>
      <c r="D708" s="10"/>
      <c r="E708" s="10"/>
      <c r="F708" s="10"/>
      <c r="G708" s="10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0"/>
      <c r="D709" s="10"/>
      <c r="E709" s="10"/>
      <c r="F709" s="10"/>
      <c r="G709" s="10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0"/>
      <c r="D710" s="10"/>
      <c r="E710" s="10"/>
      <c r="F710" s="10"/>
      <c r="G710" s="10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0"/>
      <c r="D711" s="10"/>
      <c r="E711" s="10"/>
      <c r="F711" s="10"/>
      <c r="G711" s="10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0"/>
      <c r="D712" s="10"/>
      <c r="E712" s="10"/>
      <c r="F712" s="10"/>
      <c r="G712" s="10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0"/>
      <c r="D713" s="10"/>
      <c r="E713" s="10"/>
      <c r="F713" s="10"/>
      <c r="G713" s="10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0"/>
      <c r="D714" s="10"/>
      <c r="E714" s="10"/>
      <c r="F714" s="10"/>
      <c r="G714" s="10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0"/>
      <c r="D715" s="10"/>
      <c r="E715" s="10"/>
      <c r="F715" s="10"/>
      <c r="G715" s="10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0"/>
      <c r="D716" s="10"/>
      <c r="E716" s="10"/>
      <c r="F716" s="10"/>
      <c r="G716" s="10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0"/>
      <c r="D717" s="10"/>
      <c r="E717" s="10"/>
      <c r="F717" s="10"/>
      <c r="G717" s="10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0"/>
      <c r="D718" s="10"/>
      <c r="E718" s="10"/>
      <c r="F718" s="10"/>
      <c r="G718" s="10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0"/>
      <c r="D719" s="10"/>
      <c r="E719" s="10"/>
      <c r="F719" s="10"/>
      <c r="G719" s="10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0"/>
      <c r="D720" s="10"/>
      <c r="E720" s="10"/>
      <c r="F720" s="10"/>
      <c r="G720" s="10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0"/>
      <c r="D721" s="10"/>
      <c r="E721" s="10"/>
      <c r="F721" s="10"/>
      <c r="G721" s="10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0"/>
      <c r="D722" s="10"/>
      <c r="E722" s="10"/>
      <c r="F722" s="10"/>
      <c r="G722" s="10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0"/>
      <c r="D723" s="10"/>
      <c r="E723" s="10"/>
      <c r="F723" s="10"/>
      <c r="G723" s="10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0"/>
      <c r="D724" s="10"/>
      <c r="E724" s="10"/>
      <c r="F724" s="10"/>
      <c r="G724" s="10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0"/>
      <c r="D725" s="10"/>
      <c r="E725" s="10"/>
      <c r="F725" s="10"/>
      <c r="G725" s="10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0"/>
      <c r="D726" s="10"/>
      <c r="E726" s="10"/>
      <c r="F726" s="10"/>
      <c r="G726" s="10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0"/>
      <c r="D727" s="10"/>
      <c r="E727" s="10"/>
      <c r="F727" s="10"/>
      <c r="G727" s="10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0"/>
      <c r="D728" s="10"/>
      <c r="E728" s="10"/>
      <c r="F728" s="10"/>
      <c r="G728" s="10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0"/>
      <c r="D729" s="10"/>
      <c r="E729" s="10"/>
      <c r="F729" s="10"/>
      <c r="G729" s="10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0"/>
      <c r="D730" s="10"/>
      <c r="E730" s="10"/>
      <c r="F730" s="10"/>
      <c r="G730" s="10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0"/>
      <c r="D731" s="10"/>
      <c r="E731" s="10"/>
      <c r="F731" s="10"/>
      <c r="G731" s="10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0"/>
      <c r="D732" s="10"/>
      <c r="E732" s="10"/>
      <c r="F732" s="10"/>
      <c r="G732" s="10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0"/>
      <c r="D733" s="10"/>
      <c r="E733" s="10"/>
      <c r="F733" s="10"/>
      <c r="G733" s="10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0"/>
      <c r="D734" s="10"/>
      <c r="E734" s="10"/>
      <c r="F734" s="10"/>
      <c r="G734" s="10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0"/>
      <c r="D735" s="10"/>
      <c r="E735" s="10"/>
      <c r="F735" s="10"/>
      <c r="G735" s="10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0"/>
      <c r="D736" s="10"/>
      <c r="E736" s="10"/>
      <c r="F736" s="10"/>
      <c r="G736" s="10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0"/>
      <c r="D737" s="10"/>
      <c r="E737" s="10"/>
      <c r="F737" s="10"/>
      <c r="G737" s="10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0"/>
      <c r="D738" s="10"/>
      <c r="E738" s="10"/>
      <c r="F738" s="10"/>
      <c r="G738" s="10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0"/>
      <c r="D739" s="10"/>
      <c r="E739" s="10"/>
      <c r="F739" s="10"/>
      <c r="G739" s="10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0"/>
      <c r="D740" s="10"/>
      <c r="E740" s="10"/>
      <c r="F740" s="10"/>
      <c r="G740" s="10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0"/>
      <c r="D741" s="10"/>
      <c r="E741" s="10"/>
      <c r="F741" s="10"/>
      <c r="G741" s="10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0"/>
      <c r="D742" s="10"/>
      <c r="E742" s="10"/>
      <c r="F742" s="10"/>
      <c r="G742" s="10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0"/>
      <c r="D743" s="10"/>
      <c r="E743" s="10"/>
      <c r="F743" s="10"/>
      <c r="G743" s="10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0"/>
      <c r="D744" s="10"/>
      <c r="E744" s="10"/>
      <c r="F744" s="10"/>
      <c r="G744" s="10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0"/>
      <c r="D745" s="10"/>
      <c r="E745" s="10"/>
      <c r="F745" s="10"/>
      <c r="G745" s="10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0"/>
      <c r="D746" s="10"/>
      <c r="E746" s="10"/>
      <c r="F746" s="10"/>
      <c r="G746" s="10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0"/>
      <c r="D747" s="10"/>
      <c r="E747" s="10"/>
      <c r="F747" s="10"/>
      <c r="G747" s="10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0"/>
      <c r="D748" s="10"/>
      <c r="E748" s="10"/>
      <c r="F748" s="10"/>
      <c r="G748" s="10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0"/>
      <c r="D749" s="10"/>
      <c r="E749" s="10"/>
      <c r="F749" s="10"/>
      <c r="G749" s="10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0"/>
      <c r="D750" s="10"/>
      <c r="E750" s="10"/>
      <c r="F750" s="10"/>
      <c r="G750" s="10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0"/>
      <c r="D751" s="10"/>
      <c r="E751" s="10"/>
      <c r="F751" s="10"/>
      <c r="G751" s="10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0"/>
      <c r="D752" s="10"/>
      <c r="E752" s="10"/>
      <c r="F752" s="10"/>
      <c r="G752" s="10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0"/>
      <c r="D753" s="10"/>
      <c r="E753" s="10"/>
      <c r="F753" s="10"/>
      <c r="G753" s="10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0"/>
      <c r="D754" s="10"/>
      <c r="E754" s="10"/>
      <c r="F754" s="10"/>
      <c r="G754" s="10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0"/>
      <c r="D755" s="10"/>
      <c r="E755" s="10"/>
      <c r="F755" s="10"/>
      <c r="G755" s="10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0"/>
      <c r="D756" s="10"/>
      <c r="E756" s="10"/>
      <c r="F756" s="10"/>
      <c r="G756" s="10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0"/>
      <c r="D757" s="10"/>
      <c r="E757" s="10"/>
      <c r="F757" s="10"/>
      <c r="G757" s="10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0"/>
      <c r="D758" s="10"/>
      <c r="E758" s="10"/>
      <c r="F758" s="10"/>
      <c r="G758" s="10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0"/>
      <c r="D759" s="10"/>
      <c r="E759" s="10"/>
      <c r="F759" s="10"/>
      <c r="G759" s="10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0"/>
      <c r="D760" s="10"/>
      <c r="E760" s="10"/>
      <c r="F760" s="10"/>
      <c r="G760" s="10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0"/>
      <c r="D761" s="10"/>
      <c r="E761" s="10"/>
      <c r="F761" s="10"/>
      <c r="G761" s="10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0"/>
      <c r="D762" s="10"/>
      <c r="E762" s="10"/>
      <c r="F762" s="10"/>
      <c r="G762" s="10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0"/>
      <c r="D763" s="10"/>
      <c r="E763" s="10"/>
      <c r="F763" s="10"/>
      <c r="G763" s="10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0"/>
      <c r="D764" s="10"/>
      <c r="E764" s="10"/>
      <c r="F764" s="10"/>
      <c r="G764" s="10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0"/>
      <c r="D765" s="10"/>
      <c r="E765" s="10"/>
      <c r="F765" s="10"/>
      <c r="G765" s="10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0"/>
      <c r="D766" s="10"/>
      <c r="E766" s="10"/>
      <c r="F766" s="10"/>
      <c r="G766" s="10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0"/>
      <c r="D767" s="10"/>
      <c r="E767" s="10"/>
      <c r="F767" s="10"/>
      <c r="G767" s="10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0"/>
      <c r="D768" s="10"/>
      <c r="E768" s="10"/>
      <c r="F768" s="10"/>
      <c r="G768" s="10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0"/>
      <c r="D769" s="10"/>
      <c r="E769" s="10"/>
      <c r="F769" s="10"/>
      <c r="G769" s="10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0"/>
      <c r="D770" s="10"/>
      <c r="E770" s="10"/>
      <c r="F770" s="10"/>
      <c r="G770" s="10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0"/>
      <c r="D771" s="10"/>
      <c r="E771" s="10"/>
      <c r="F771" s="10"/>
      <c r="G771" s="10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0"/>
      <c r="D772" s="10"/>
      <c r="E772" s="10"/>
      <c r="F772" s="10"/>
      <c r="G772" s="10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0"/>
      <c r="D773" s="10"/>
      <c r="E773" s="10"/>
      <c r="F773" s="10"/>
      <c r="G773" s="10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0"/>
      <c r="D774" s="10"/>
      <c r="E774" s="10"/>
      <c r="F774" s="10"/>
      <c r="G774" s="10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0"/>
      <c r="D775" s="10"/>
      <c r="E775" s="10"/>
      <c r="F775" s="10"/>
      <c r="G775" s="10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0"/>
      <c r="D776" s="10"/>
      <c r="E776" s="10"/>
      <c r="F776" s="10"/>
      <c r="G776" s="10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0"/>
      <c r="D777" s="10"/>
      <c r="E777" s="10"/>
      <c r="F777" s="10"/>
      <c r="G777" s="10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0"/>
      <c r="D778" s="10"/>
      <c r="E778" s="10"/>
      <c r="F778" s="10"/>
      <c r="G778" s="10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0"/>
      <c r="D779" s="10"/>
      <c r="E779" s="10"/>
      <c r="F779" s="10"/>
      <c r="G779" s="10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0"/>
      <c r="D780" s="10"/>
      <c r="E780" s="10"/>
      <c r="F780" s="10"/>
      <c r="G780" s="10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0"/>
      <c r="D781" s="10"/>
      <c r="E781" s="10"/>
      <c r="F781" s="10"/>
      <c r="G781" s="10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0"/>
      <c r="D782" s="10"/>
      <c r="E782" s="10"/>
      <c r="F782" s="10"/>
      <c r="G782" s="10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0"/>
      <c r="D783" s="10"/>
      <c r="E783" s="10"/>
      <c r="F783" s="10"/>
      <c r="G783" s="10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0"/>
      <c r="D784" s="10"/>
      <c r="E784" s="10"/>
      <c r="F784" s="10"/>
      <c r="G784" s="10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0"/>
      <c r="D785" s="10"/>
      <c r="E785" s="10"/>
      <c r="F785" s="10"/>
      <c r="G785" s="10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0"/>
      <c r="D786" s="10"/>
      <c r="E786" s="10"/>
      <c r="F786" s="10"/>
      <c r="G786" s="10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0"/>
      <c r="D787" s="10"/>
      <c r="E787" s="10"/>
      <c r="F787" s="10"/>
      <c r="G787" s="10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0"/>
      <c r="D788" s="10"/>
      <c r="E788" s="10"/>
      <c r="F788" s="10"/>
      <c r="G788" s="10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0"/>
      <c r="D789" s="10"/>
      <c r="E789" s="10"/>
      <c r="F789" s="10"/>
      <c r="G789" s="10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0"/>
      <c r="D790" s="10"/>
      <c r="E790" s="10"/>
      <c r="F790" s="10"/>
      <c r="G790" s="10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0"/>
      <c r="D791" s="10"/>
      <c r="E791" s="10"/>
      <c r="F791" s="10"/>
      <c r="G791" s="10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0"/>
      <c r="D792" s="10"/>
      <c r="E792" s="10"/>
      <c r="F792" s="10"/>
      <c r="G792" s="10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0"/>
      <c r="D793" s="10"/>
      <c r="E793" s="10"/>
      <c r="F793" s="10"/>
      <c r="G793" s="10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0"/>
      <c r="D794" s="10"/>
      <c r="E794" s="10"/>
      <c r="F794" s="10"/>
      <c r="G794" s="10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0"/>
      <c r="D795" s="10"/>
      <c r="E795" s="10"/>
      <c r="F795" s="10"/>
      <c r="G795" s="10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0"/>
      <c r="D796" s="10"/>
      <c r="E796" s="10"/>
      <c r="F796" s="10"/>
      <c r="G796" s="10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0"/>
      <c r="D797" s="10"/>
      <c r="E797" s="10"/>
      <c r="F797" s="10"/>
      <c r="G797" s="10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0"/>
      <c r="D798" s="10"/>
      <c r="E798" s="10"/>
      <c r="F798" s="10"/>
      <c r="G798" s="10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0"/>
      <c r="D799" s="10"/>
      <c r="E799" s="10"/>
      <c r="F799" s="10"/>
      <c r="G799" s="10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0"/>
      <c r="D800" s="10"/>
      <c r="E800" s="10"/>
      <c r="F800" s="10"/>
      <c r="G800" s="10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0"/>
      <c r="D801" s="10"/>
      <c r="E801" s="10"/>
      <c r="F801" s="10"/>
      <c r="G801" s="10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0"/>
      <c r="D802" s="10"/>
      <c r="E802" s="10"/>
      <c r="F802" s="10"/>
      <c r="G802" s="10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0"/>
      <c r="D803" s="10"/>
      <c r="E803" s="10"/>
      <c r="F803" s="10"/>
      <c r="G803" s="10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0"/>
      <c r="D804" s="10"/>
      <c r="E804" s="10"/>
      <c r="F804" s="10"/>
      <c r="G804" s="10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0"/>
      <c r="D805" s="10"/>
      <c r="E805" s="10"/>
      <c r="F805" s="10"/>
      <c r="G805" s="10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0"/>
      <c r="D806" s="10"/>
      <c r="E806" s="10"/>
      <c r="F806" s="10"/>
      <c r="G806" s="10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0"/>
      <c r="D807" s="10"/>
      <c r="E807" s="10"/>
      <c r="F807" s="10"/>
      <c r="G807" s="10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0"/>
      <c r="D808" s="10"/>
      <c r="E808" s="10"/>
      <c r="F808" s="10"/>
      <c r="G808" s="10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0"/>
      <c r="D809" s="10"/>
      <c r="E809" s="10"/>
      <c r="F809" s="10"/>
      <c r="G809" s="10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0"/>
      <c r="D810" s="10"/>
      <c r="E810" s="10"/>
      <c r="F810" s="10"/>
      <c r="G810" s="10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0"/>
      <c r="D811" s="10"/>
      <c r="E811" s="10"/>
      <c r="F811" s="10"/>
      <c r="G811" s="10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0"/>
      <c r="D812" s="10"/>
      <c r="E812" s="10"/>
      <c r="F812" s="10"/>
      <c r="G812" s="10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0"/>
      <c r="D813" s="10"/>
      <c r="E813" s="10"/>
      <c r="F813" s="10"/>
      <c r="G813" s="10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0"/>
      <c r="D814" s="10"/>
      <c r="E814" s="10"/>
      <c r="F814" s="10"/>
      <c r="G814" s="10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0"/>
      <c r="D815" s="10"/>
      <c r="E815" s="10"/>
      <c r="F815" s="10"/>
      <c r="G815" s="10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0"/>
      <c r="D816" s="10"/>
      <c r="E816" s="10"/>
      <c r="F816" s="10"/>
      <c r="G816" s="10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0"/>
      <c r="D817" s="10"/>
      <c r="E817" s="10"/>
      <c r="F817" s="10"/>
      <c r="G817" s="10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0"/>
      <c r="D818" s="10"/>
      <c r="E818" s="10"/>
      <c r="F818" s="10"/>
      <c r="G818" s="10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0"/>
      <c r="D819" s="10"/>
      <c r="E819" s="10"/>
      <c r="F819" s="10"/>
      <c r="G819" s="10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0"/>
      <c r="D820" s="10"/>
      <c r="E820" s="10"/>
      <c r="F820" s="10"/>
      <c r="G820" s="10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0"/>
      <c r="D821" s="10"/>
      <c r="E821" s="10"/>
      <c r="F821" s="10"/>
      <c r="G821" s="10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0"/>
      <c r="D822" s="10"/>
      <c r="E822" s="10"/>
      <c r="F822" s="10"/>
      <c r="G822" s="10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0"/>
      <c r="D823" s="10"/>
      <c r="E823" s="10"/>
      <c r="F823" s="10"/>
      <c r="G823" s="10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0"/>
      <c r="D824" s="10"/>
      <c r="E824" s="10"/>
      <c r="F824" s="10"/>
      <c r="G824" s="10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0"/>
      <c r="D825" s="10"/>
      <c r="E825" s="10"/>
      <c r="F825" s="10"/>
      <c r="G825" s="10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0"/>
      <c r="D826" s="10"/>
      <c r="E826" s="10"/>
      <c r="F826" s="10"/>
      <c r="G826" s="10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0"/>
      <c r="D827" s="10"/>
      <c r="E827" s="10"/>
      <c r="F827" s="10"/>
      <c r="G827" s="10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0"/>
      <c r="D828" s="10"/>
      <c r="E828" s="10"/>
      <c r="F828" s="10"/>
      <c r="G828" s="10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0"/>
      <c r="D829" s="10"/>
      <c r="E829" s="10"/>
      <c r="F829" s="10"/>
      <c r="G829" s="10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0"/>
      <c r="D830" s="10"/>
      <c r="E830" s="10"/>
      <c r="F830" s="10"/>
      <c r="G830" s="10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0"/>
      <c r="D831" s="10"/>
      <c r="E831" s="10"/>
      <c r="F831" s="10"/>
      <c r="G831" s="10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0"/>
      <c r="D832" s="10"/>
      <c r="E832" s="10"/>
      <c r="F832" s="10"/>
      <c r="G832" s="10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0"/>
      <c r="D833" s="10"/>
      <c r="E833" s="10"/>
      <c r="F833" s="10"/>
      <c r="G833" s="10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0"/>
      <c r="D834" s="10"/>
      <c r="E834" s="10"/>
      <c r="F834" s="10"/>
      <c r="G834" s="10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0"/>
      <c r="D835" s="10"/>
      <c r="E835" s="10"/>
      <c r="F835" s="10"/>
      <c r="G835" s="10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0"/>
      <c r="D836" s="10"/>
      <c r="E836" s="10"/>
      <c r="F836" s="10"/>
      <c r="G836" s="10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0"/>
      <c r="D837" s="10"/>
      <c r="E837" s="10"/>
      <c r="F837" s="10"/>
      <c r="G837" s="10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0"/>
      <c r="D838" s="10"/>
      <c r="E838" s="10"/>
      <c r="F838" s="10"/>
      <c r="G838" s="10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0"/>
      <c r="D839" s="10"/>
      <c r="E839" s="10"/>
      <c r="F839" s="10"/>
      <c r="G839" s="10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0"/>
      <c r="D840" s="10"/>
      <c r="E840" s="10"/>
      <c r="F840" s="10"/>
      <c r="G840" s="10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0"/>
      <c r="D841" s="10"/>
      <c r="E841" s="10"/>
      <c r="F841" s="10"/>
      <c r="G841" s="10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0"/>
      <c r="D842" s="10"/>
      <c r="E842" s="10"/>
      <c r="F842" s="10"/>
      <c r="G842" s="10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0"/>
      <c r="D843" s="10"/>
      <c r="E843" s="10"/>
      <c r="F843" s="10"/>
      <c r="G843" s="10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0"/>
      <c r="D844" s="10"/>
      <c r="E844" s="10"/>
      <c r="F844" s="10"/>
      <c r="G844" s="10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0"/>
      <c r="D845" s="10"/>
      <c r="E845" s="10"/>
      <c r="F845" s="10"/>
      <c r="G845" s="10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0"/>
      <c r="D846" s="10"/>
      <c r="E846" s="10"/>
      <c r="F846" s="10"/>
      <c r="G846" s="10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0"/>
      <c r="D847" s="10"/>
      <c r="E847" s="10"/>
      <c r="F847" s="10"/>
      <c r="G847" s="10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0"/>
      <c r="D848" s="10"/>
      <c r="E848" s="10"/>
      <c r="F848" s="10"/>
      <c r="G848" s="10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0"/>
      <c r="D849" s="10"/>
      <c r="E849" s="10"/>
      <c r="F849" s="10"/>
      <c r="G849" s="10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0"/>
      <c r="D850" s="10"/>
      <c r="E850" s="10"/>
      <c r="F850" s="10"/>
      <c r="G850" s="10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0"/>
      <c r="D851" s="10"/>
      <c r="E851" s="10"/>
      <c r="F851" s="10"/>
      <c r="G851" s="10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0"/>
      <c r="D852" s="10"/>
      <c r="E852" s="10"/>
      <c r="F852" s="10"/>
      <c r="G852" s="10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0"/>
      <c r="D853" s="10"/>
      <c r="E853" s="10"/>
      <c r="F853" s="10"/>
      <c r="G853" s="10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0"/>
      <c r="D854" s="10"/>
      <c r="E854" s="10"/>
      <c r="F854" s="10"/>
      <c r="G854" s="10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0"/>
      <c r="D855" s="10"/>
      <c r="E855" s="10"/>
      <c r="F855" s="10"/>
      <c r="G855" s="10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0"/>
      <c r="D856" s="10"/>
      <c r="E856" s="10"/>
      <c r="F856" s="10"/>
      <c r="G856" s="10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0"/>
      <c r="D857" s="10"/>
      <c r="E857" s="10"/>
      <c r="F857" s="10"/>
      <c r="G857" s="10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0"/>
      <c r="D858" s="10"/>
      <c r="E858" s="10"/>
      <c r="F858" s="10"/>
      <c r="G858" s="10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0"/>
      <c r="D859" s="10"/>
      <c r="E859" s="10"/>
      <c r="F859" s="10"/>
      <c r="G859" s="10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0"/>
      <c r="D860" s="10"/>
      <c r="E860" s="10"/>
      <c r="F860" s="10"/>
      <c r="G860" s="10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0"/>
      <c r="D861" s="10"/>
      <c r="E861" s="10"/>
      <c r="F861" s="10"/>
      <c r="G861" s="10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0"/>
      <c r="D862" s="10"/>
      <c r="E862" s="10"/>
      <c r="F862" s="10"/>
      <c r="G862" s="10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0"/>
      <c r="D863" s="10"/>
      <c r="E863" s="10"/>
      <c r="F863" s="10"/>
      <c r="G863" s="10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0"/>
      <c r="D864" s="10"/>
      <c r="E864" s="10"/>
      <c r="F864" s="10"/>
      <c r="G864" s="10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0"/>
      <c r="D865" s="10"/>
      <c r="E865" s="10"/>
      <c r="F865" s="10"/>
      <c r="G865" s="10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0"/>
      <c r="D866" s="10"/>
      <c r="E866" s="10"/>
      <c r="F866" s="10"/>
      <c r="G866" s="10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0"/>
      <c r="D867" s="10"/>
      <c r="E867" s="10"/>
      <c r="F867" s="10"/>
      <c r="G867" s="10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0"/>
      <c r="D868" s="10"/>
      <c r="E868" s="10"/>
      <c r="F868" s="10"/>
      <c r="G868" s="10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0"/>
      <c r="D869" s="10"/>
      <c r="E869" s="10"/>
      <c r="F869" s="10"/>
      <c r="G869" s="10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0"/>
      <c r="D870" s="10"/>
      <c r="E870" s="10"/>
      <c r="F870" s="10"/>
      <c r="G870" s="10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0"/>
      <c r="D871" s="10"/>
      <c r="E871" s="10"/>
      <c r="F871" s="10"/>
      <c r="G871" s="10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0"/>
      <c r="D872" s="10"/>
      <c r="E872" s="10"/>
      <c r="F872" s="10"/>
      <c r="G872" s="10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0"/>
      <c r="D873" s="10"/>
      <c r="E873" s="10"/>
      <c r="F873" s="10"/>
      <c r="G873" s="10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0"/>
      <c r="D874" s="10"/>
      <c r="E874" s="10"/>
      <c r="F874" s="10"/>
      <c r="G874" s="10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0"/>
      <c r="D875" s="10"/>
      <c r="E875" s="10"/>
      <c r="F875" s="10"/>
      <c r="G875" s="10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0"/>
      <c r="D876" s="10"/>
      <c r="E876" s="10"/>
      <c r="F876" s="10"/>
      <c r="G876" s="10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0"/>
      <c r="D877" s="10"/>
      <c r="E877" s="10"/>
      <c r="F877" s="10"/>
      <c r="G877" s="10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0"/>
      <c r="D878" s="10"/>
      <c r="E878" s="10"/>
      <c r="F878" s="10"/>
      <c r="G878" s="10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0"/>
      <c r="D879" s="10"/>
      <c r="E879" s="10"/>
      <c r="F879" s="10"/>
      <c r="G879" s="10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0"/>
      <c r="D880" s="10"/>
      <c r="E880" s="10"/>
      <c r="F880" s="10"/>
      <c r="G880" s="10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0"/>
      <c r="D881" s="10"/>
      <c r="E881" s="10"/>
      <c r="F881" s="10"/>
      <c r="G881" s="10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0"/>
      <c r="D882" s="10"/>
      <c r="E882" s="10"/>
      <c r="F882" s="10"/>
      <c r="G882" s="10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0"/>
      <c r="D883" s="10"/>
      <c r="E883" s="10"/>
      <c r="F883" s="10"/>
      <c r="G883" s="10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0"/>
      <c r="D884" s="10"/>
      <c r="E884" s="10"/>
      <c r="F884" s="10"/>
      <c r="G884" s="10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0"/>
      <c r="D885" s="10"/>
      <c r="E885" s="10"/>
      <c r="F885" s="10"/>
      <c r="G885" s="10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0"/>
      <c r="D886" s="10"/>
      <c r="E886" s="10"/>
      <c r="F886" s="10"/>
      <c r="G886" s="10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0"/>
      <c r="D887" s="10"/>
      <c r="E887" s="10"/>
      <c r="F887" s="10"/>
      <c r="G887" s="10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0"/>
      <c r="D888" s="10"/>
      <c r="E888" s="10"/>
      <c r="F888" s="10"/>
      <c r="G888" s="10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0"/>
      <c r="D889" s="10"/>
      <c r="E889" s="10"/>
      <c r="F889" s="10"/>
      <c r="G889" s="10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0"/>
      <c r="D890" s="10"/>
      <c r="E890" s="10"/>
      <c r="F890" s="10"/>
      <c r="G890" s="10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0"/>
      <c r="D891" s="10"/>
      <c r="E891" s="10"/>
      <c r="F891" s="10"/>
      <c r="G891" s="10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0"/>
      <c r="D892" s="10"/>
      <c r="E892" s="10"/>
      <c r="F892" s="10"/>
      <c r="G892" s="10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0"/>
      <c r="D893" s="10"/>
      <c r="E893" s="10"/>
      <c r="F893" s="10"/>
      <c r="G893" s="10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0"/>
      <c r="D894" s="10"/>
      <c r="E894" s="10"/>
      <c r="F894" s="10"/>
      <c r="G894" s="10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0"/>
      <c r="D895" s="10"/>
      <c r="E895" s="10"/>
      <c r="F895" s="10"/>
      <c r="G895" s="10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0"/>
      <c r="D896" s="10"/>
      <c r="E896" s="10"/>
      <c r="F896" s="10"/>
      <c r="G896" s="10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0"/>
      <c r="D897" s="10"/>
      <c r="E897" s="10"/>
      <c r="F897" s="10"/>
      <c r="G897" s="10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0"/>
      <c r="D898" s="10"/>
      <c r="E898" s="10"/>
      <c r="F898" s="10"/>
      <c r="G898" s="10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0"/>
      <c r="D899" s="10"/>
      <c r="E899" s="10"/>
      <c r="F899" s="10"/>
      <c r="G899" s="10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0"/>
      <c r="D900" s="10"/>
      <c r="E900" s="10"/>
      <c r="F900" s="10"/>
      <c r="G900" s="10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0"/>
      <c r="D901" s="10"/>
      <c r="E901" s="10"/>
      <c r="F901" s="10"/>
      <c r="G901" s="10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0"/>
      <c r="D902" s="10"/>
      <c r="E902" s="10"/>
      <c r="F902" s="10"/>
      <c r="G902" s="10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0"/>
      <c r="D903" s="10"/>
      <c r="E903" s="10"/>
      <c r="F903" s="10"/>
      <c r="G903" s="10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0"/>
      <c r="D904" s="10"/>
      <c r="E904" s="10"/>
      <c r="F904" s="10"/>
      <c r="G904" s="10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0"/>
      <c r="D905" s="10"/>
      <c r="E905" s="10"/>
      <c r="F905" s="10"/>
      <c r="G905" s="10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0"/>
      <c r="D906" s="10"/>
      <c r="E906" s="10"/>
      <c r="F906" s="10"/>
      <c r="G906" s="10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0"/>
      <c r="D907" s="10"/>
      <c r="E907" s="10"/>
      <c r="F907" s="10"/>
      <c r="G907" s="10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0"/>
      <c r="D908" s="10"/>
      <c r="E908" s="10"/>
      <c r="F908" s="10"/>
      <c r="G908" s="10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0"/>
      <c r="D909" s="10"/>
      <c r="E909" s="10"/>
      <c r="F909" s="10"/>
      <c r="G909" s="10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0"/>
      <c r="D910" s="10"/>
      <c r="E910" s="10"/>
      <c r="F910" s="10"/>
      <c r="G910" s="10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0"/>
      <c r="D911" s="10"/>
      <c r="E911" s="10"/>
      <c r="F911" s="10"/>
      <c r="G911" s="10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0"/>
      <c r="D912" s="10"/>
      <c r="E912" s="10"/>
      <c r="F912" s="10"/>
      <c r="G912" s="10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0"/>
      <c r="D913" s="10"/>
      <c r="E913" s="10"/>
      <c r="F913" s="10"/>
      <c r="G913" s="10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0"/>
      <c r="D914" s="10"/>
      <c r="E914" s="10"/>
      <c r="F914" s="10"/>
      <c r="G914" s="10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0"/>
      <c r="D915" s="10"/>
      <c r="E915" s="10"/>
      <c r="F915" s="10"/>
      <c r="G915" s="10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0"/>
      <c r="D916" s="10"/>
      <c r="E916" s="10"/>
      <c r="F916" s="10"/>
      <c r="G916" s="10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0"/>
      <c r="D917" s="10"/>
      <c r="E917" s="10"/>
      <c r="F917" s="10"/>
      <c r="G917" s="10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0"/>
      <c r="D918" s="10"/>
      <c r="E918" s="10"/>
      <c r="F918" s="10"/>
      <c r="G918" s="10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0"/>
      <c r="D919" s="10"/>
      <c r="E919" s="10"/>
      <c r="F919" s="10"/>
      <c r="G919" s="10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0"/>
      <c r="D920" s="10"/>
      <c r="E920" s="10"/>
      <c r="F920" s="10"/>
      <c r="G920" s="10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0"/>
      <c r="D921" s="10"/>
      <c r="E921" s="10"/>
      <c r="F921" s="10"/>
      <c r="G921" s="10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0"/>
      <c r="D922" s="10"/>
      <c r="E922" s="10"/>
      <c r="F922" s="10"/>
      <c r="G922" s="10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0"/>
      <c r="D923" s="10"/>
      <c r="E923" s="10"/>
      <c r="F923" s="10"/>
      <c r="G923" s="10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0"/>
      <c r="D924" s="10"/>
      <c r="E924" s="10"/>
      <c r="F924" s="10"/>
      <c r="G924" s="10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0"/>
      <c r="D925" s="10"/>
      <c r="E925" s="10"/>
      <c r="F925" s="10"/>
      <c r="G925" s="10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0"/>
      <c r="D926" s="10"/>
      <c r="E926" s="10"/>
      <c r="F926" s="10"/>
      <c r="G926" s="10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0"/>
      <c r="D927" s="10"/>
      <c r="E927" s="10"/>
      <c r="F927" s="10"/>
      <c r="G927" s="10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0"/>
      <c r="D928" s="10"/>
      <c r="E928" s="10"/>
      <c r="F928" s="10"/>
      <c r="G928" s="10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0"/>
      <c r="D929" s="10"/>
      <c r="E929" s="10"/>
      <c r="F929" s="10"/>
      <c r="G929" s="10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0"/>
      <c r="D930" s="10"/>
      <c r="E930" s="10"/>
      <c r="F930" s="10"/>
      <c r="G930" s="10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0"/>
      <c r="D931" s="10"/>
      <c r="E931" s="10"/>
      <c r="F931" s="10"/>
      <c r="G931" s="10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0"/>
      <c r="D932" s="10"/>
      <c r="E932" s="10"/>
      <c r="F932" s="10"/>
      <c r="G932" s="10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0"/>
      <c r="D933" s="10"/>
      <c r="E933" s="10"/>
      <c r="F933" s="10"/>
      <c r="G933" s="10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0"/>
      <c r="D934" s="10"/>
      <c r="E934" s="10"/>
      <c r="F934" s="10"/>
      <c r="G934" s="10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0"/>
      <c r="D935" s="10"/>
      <c r="E935" s="10"/>
      <c r="F935" s="10"/>
      <c r="G935" s="10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0"/>
      <c r="D936" s="10"/>
      <c r="E936" s="10"/>
      <c r="F936" s="10"/>
      <c r="G936" s="10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0"/>
      <c r="D937" s="10"/>
      <c r="E937" s="10"/>
      <c r="F937" s="10"/>
      <c r="G937" s="10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0"/>
      <c r="D938" s="10"/>
      <c r="E938" s="10"/>
      <c r="F938" s="10"/>
      <c r="G938" s="10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0"/>
      <c r="D939" s="10"/>
      <c r="E939" s="10"/>
      <c r="F939" s="10"/>
      <c r="G939" s="10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0"/>
      <c r="D940" s="10"/>
      <c r="E940" s="10"/>
      <c r="F940" s="10"/>
      <c r="G940" s="10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0"/>
      <c r="D941" s="10"/>
      <c r="E941" s="10"/>
      <c r="F941" s="10"/>
      <c r="G941" s="10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0"/>
      <c r="D942" s="10"/>
      <c r="E942" s="10"/>
      <c r="F942" s="10"/>
      <c r="G942" s="10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0"/>
      <c r="D943" s="10"/>
      <c r="E943" s="10"/>
      <c r="F943" s="10"/>
      <c r="G943" s="10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0"/>
      <c r="D944" s="10"/>
      <c r="E944" s="10"/>
      <c r="F944" s="10"/>
      <c r="G944" s="10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0"/>
      <c r="D945" s="10"/>
      <c r="E945" s="10"/>
      <c r="F945" s="10"/>
      <c r="G945" s="10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0"/>
      <c r="D946" s="10"/>
      <c r="E946" s="10"/>
      <c r="F946" s="10"/>
      <c r="G946" s="10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0"/>
      <c r="D947" s="10"/>
      <c r="E947" s="10"/>
      <c r="F947" s="10"/>
      <c r="G947" s="10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0"/>
      <c r="D948" s="10"/>
      <c r="E948" s="10"/>
      <c r="F948" s="10"/>
      <c r="G948" s="10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0"/>
      <c r="D949" s="10"/>
      <c r="E949" s="10"/>
      <c r="F949" s="10"/>
      <c r="G949" s="10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0"/>
      <c r="D950" s="10"/>
      <c r="E950" s="10"/>
      <c r="F950" s="10"/>
      <c r="G950" s="10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0"/>
      <c r="D951" s="10"/>
      <c r="E951" s="10"/>
      <c r="F951" s="10"/>
      <c r="G951" s="10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0"/>
      <c r="D952" s="10"/>
      <c r="E952" s="10"/>
      <c r="F952" s="10"/>
      <c r="G952" s="10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0"/>
      <c r="D953" s="10"/>
      <c r="E953" s="10"/>
      <c r="F953" s="10"/>
      <c r="G953" s="10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0"/>
      <c r="D954" s="10"/>
      <c r="E954" s="10"/>
      <c r="F954" s="10"/>
      <c r="G954" s="10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0"/>
      <c r="D955" s="10"/>
      <c r="E955" s="10"/>
      <c r="F955" s="10"/>
      <c r="G955" s="10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0"/>
      <c r="D956" s="10"/>
      <c r="E956" s="10"/>
      <c r="F956" s="10"/>
      <c r="G956" s="10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0"/>
      <c r="D957" s="10"/>
      <c r="E957" s="10"/>
      <c r="F957" s="10"/>
      <c r="G957" s="10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0"/>
      <c r="D958" s="10"/>
      <c r="E958" s="10"/>
      <c r="F958" s="10"/>
      <c r="G958" s="10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0"/>
      <c r="D959" s="10"/>
      <c r="E959" s="10"/>
      <c r="F959" s="10"/>
      <c r="G959" s="10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0"/>
      <c r="D960" s="10"/>
      <c r="E960" s="10"/>
      <c r="F960" s="10"/>
      <c r="G960" s="10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0"/>
      <c r="D961" s="10"/>
      <c r="E961" s="10"/>
      <c r="F961" s="10"/>
      <c r="G961" s="10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0"/>
      <c r="D962" s="10"/>
      <c r="E962" s="10"/>
      <c r="F962" s="10"/>
      <c r="G962" s="10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0"/>
      <c r="D963" s="10"/>
      <c r="E963" s="10"/>
      <c r="F963" s="10"/>
      <c r="G963" s="10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0"/>
      <c r="D964" s="10"/>
      <c r="E964" s="10"/>
      <c r="F964" s="10"/>
      <c r="G964" s="10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0"/>
      <c r="D965" s="10"/>
      <c r="E965" s="10"/>
      <c r="F965" s="10"/>
      <c r="G965" s="10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0"/>
      <c r="D966" s="10"/>
      <c r="E966" s="10"/>
      <c r="F966" s="10"/>
      <c r="G966" s="10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0"/>
      <c r="D967" s="10"/>
      <c r="E967" s="10"/>
      <c r="F967" s="10"/>
      <c r="G967" s="10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0"/>
      <c r="D968" s="10"/>
      <c r="E968" s="10"/>
      <c r="F968" s="10"/>
      <c r="G968" s="10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0"/>
      <c r="D969" s="10"/>
      <c r="E969" s="10"/>
      <c r="F969" s="10"/>
      <c r="G969" s="10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0"/>
      <c r="D970" s="10"/>
      <c r="E970" s="10"/>
      <c r="F970" s="10"/>
      <c r="G970" s="10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0"/>
      <c r="D971" s="10"/>
      <c r="E971" s="10"/>
      <c r="F971" s="10"/>
      <c r="G971" s="10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0"/>
      <c r="D972" s="10"/>
      <c r="E972" s="10"/>
      <c r="F972" s="10"/>
      <c r="G972" s="10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0"/>
      <c r="D973" s="10"/>
      <c r="E973" s="10"/>
      <c r="F973" s="10"/>
      <c r="G973" s="10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0"/>
      <c r="D974" s="10"/>
      <c r="E974" s="10"/>
      <c r="F974" s="10"/>
      <c r="G974" s="10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0"/>
      <c r="D975" s="10"/>
      <c r="E975" s="10"/>
      <c r="F975" s="10"/>
      <c r="G975" s="10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0"/>
      <c r="D976" s="10"/>
      <c r="E976" s="10"/>
      <c r="F976" s="10"/>
      <c r="G976" s="10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0"/>
      <c r="D977" s="10"/>
      <c r="E977" s="10"/>
      <c r="F977" s="10"/>
      <c r="G977" s="10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0"/>
      <c r="D978" s="10"/>
      <c r="E978" s="10"/>
      <c r="F978" s="10"/>
      <c r="G978" s="10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0"/>
      <c r="D979" s="10"/>
      <c r="E979" s="10"/>
      <c r="F979" s="10"/>
      <c r="G979" s="10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0"/>
      <c r="D980" s="10"/>
      <c r="E980" s="10"/>
      <c r="F980" s="10"/>
      <c r="G980" s="10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0"/>
      <c r="D981" s="10"/>
      <c r="E981" s="10"/>
      <c r="F981" s="10"/>
      <c r="G981" s="10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0"/>
      <c r="D982" s="10"/>
      <c r="E982" s="10"/>
      <c r="F982" s="10"/>
      <c r="G982" s="10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0"/>
      <c r="D983" s="10"/>
      <c r="E983" s="10"/>
      <c r="F983" s="10"/>
      <c r="G983" s="10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0"/>
      <c r="D984" s="10"/>
      <c r="E984" s="10"/>
      <c r="F984" s="10"/>
      <c r="G984" s="10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0"/>
      <c r="D985" s="10"/>
      <c r="E985" s="10"/>
      <c r="F985" s="10"/>
      <c r="G985" s="10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0"/>
      <c r="D986" s="10"/>
      <c r="E986" s="10"/>
      <c r="F986" s="10"/>
      <c r="G986" s="10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0"/>
      <c r="D987" s="10"/>
      <c r="E987" s="10"/>
      <c r="F987" s="10"/>
      <c r="G987" s="10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0"/>
      <c r="D988" s="10"/>
      <c r="E988" s="10"/>
      <c r="F988" s="10"/>
      <c r="G988" s="10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0"/>
      <c r="D989" s="10"/>
      <c r="E989" s="10"/>
      <c r="F989" s="10"/>
      <c r="G989" s="10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0"/>
      <c r="D990" s="10"/>
      <c r="E990" s="10"/>
      <c r="F990" s="10"/>
      <c r="G990" s="10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0"/>
      <c r="D991" s="10"/>
      <c r="E991" s="10"/>
      <c r="F991" s="10"/>
      <c r="G991" s="10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0"/>
      <c r="D992" s="10"/>
      <c r="E992" s="10"/>
      <c r="F992" s="10"/>
      <c r="G992" s="10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0"/>
      <c r="D993" s="10"/>
      <c r="E993" s="10"/>
      <c r="F993" s="10"/>
      <c r="G993" s="10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0"/>
      <c r="D994" s="10"/>
      <c r="E994" s="10"/>
      <c r="F994" s="10"/>
      <c r="G994" s="10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0"/>
      <c r="D995" s="10"/>
      <c r="E995" s="10"/>
      <c r="F995" s="10"/>
      <c r="G995" s="10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0"/>
      <c r="D996" s="10"/>
      <c r="E996" s="10"/>
      <c r="F996" s="10"/>
      <c r="G996" s="10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0"/>
      <c r="D997" s="10"/>
      <c r="E997" s="10"/>
      <c r="F997" s="10"/>
      <c r="G997" s="10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0"/>
      <c r="D998" s="10"/>
      <c r="E998" s="10"/>
      <c r="F998" s="10"/>
      <c r="G998" s="10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0"/>
      <c r="D999" s="10"/>
      <c r="E999" s="10"/>
      <c r="F999" s="10"/>
      <c r="G999" s="10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0"/>
      <c r="D1000" s="10"/>
      <c r="E1000" s="10"/>
      <c r="F1000" s="10"/>
      <c r="G1000" s="10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0">
    <mergeCell ref="E17:G17"/>
    <mergeCell ref="E18:G18"/>
    <mergeCell ref="E19:G19"/>
    <mergeCell ref="B2:G2"/>
    <mergeCell ref="E3:G3"/>
    <mergeCell ref="D4:D6"/>
    <mergeCell ref="E13:G13"/>
    <mergeCell ref="E14:G14"/>
    <mergeCell ref="E15:G15"/>
    <mergeCell ref="E16:G16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showGridLines="0" zoomScale="70" zoomScaleNormal="70" workbookViewId="0">
      <selection activeCell="B14" sqref="B14:B30"/>
    </sheetView>
  </sheetViews>
  <sheetFormatPr defaultColWidth="14.44140625" defaultRowHeight="15" customHeight="1" x14ac:dyDescent="0.3"/>
  <cols>
    <col min="1" max="1" width="8.88671875" customWidth="1"/>
    <col min="2" max="2" width="19" customWidth="1"/>
    <col min="3" max="3" width="41.33203125" customWidth="1"/>
    <col min="4" max="4" width="20.6640625" style="29" customWidth="1"/>
    <col min="5" max="5" width="10.109375" customWidth="1"/>
    <col min="6" max="6" width="9.88671875" customWidth="1"/>
    <col min="7" max="7" width="8.88671875" customWidth="1"/>
    <col min="8" max="8" width="8.88671875" style="26" customWidth="1"/>
    <col min="9" max="26" width="8.6640625" customWidth="1"/>
  </cols>
  <sheetData>
    <row r="1" spans="1:26" ht="15.6" x14ac:dyDescent="0.3">
      <c r="A1" s="1"/>
      <c r="B1" s="1"/>
      <c r="C1" s="1"/>
      <c r="D1" s="23"/>
      <c r="E1" s="10"/>
      <c r="F1" s="10"/>
      <c r="G1" s="10"/>
      <c r="H1" s="24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41" t="s">
        <v>26</v>
      </c>
      <c r="C2" s="42"/>
      <c r="D2" s="42"/>
      <c r="E2" s="42"/>
      <c r="F2" s="42"/>
      <c r="G2" s="43"/>
      <c r="H2" s="24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1" t="s">
        <v>27</v>
      </c>
      <c r="C3" s="12" t="s">
        <v>28</v>
      </c>
      <c r="D3" s="14" t="s">
        <v>29</v>
      </c>
      <c r="E3" s="44"/>
      <c r="F3" s="42"/>
      <c r="G3" s="43"/>
      <c r="H3" s="24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1" t="s">
        <v>30</v>
      </c>
      <c r="C4" s="12" t="s">
        <v>14</v>
      </c>
      <c r="D4" s="45">
        <f>COUNTA(H14:H600)</f>
        <v>17</v>
      </c>
      <c r="E4" s="14" t="s">
        <v>31</v>
      </c>
      <c r="F4" s="13" t="s">
        <v>32</v>
      </c>
      <c r="G4" s="13" t="s">
        <v>33</v>
      </c>
      <c r="H4" s="24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1" t="s">
        <v>34</v>
      </c>
      <c r="C5" s="12" t="s">
        <v>35</v>
      </c>
      <c r="D5" s="66"/>
      <c r="E5" s="27">
        <f>COUNTIF(H13:H100, "PASS")</f>
        <v>17</v>
      </c>
      <c r="F5" s="27">
        <f>COUNTIF(H13:H100, "FAIL")</f>
        <v>0</v>
      </c>
      <c r="G5" s="27">
        <f>COUNTIF(H13:H100, "SKIP")</f>
        <v>0</v>
      </c>
      <c r="H5" s="24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1" t="s">
        <v>36</v>
      </c>
      <c r="C6" s="15">
        <v>46133</v>
      </c>
      <c r="D6" s="67"/>
      <c r="E6" s="28">
        <f>E5/D4</f>
        <v>1</v>
      </c>
      <c r="F6" s="28">
        <f>F5/D4</f>
        <v>0</v>
      </c>
      <c r="G6" s="28">
        <f>G5/D4</f>
        <v>0</v>
      </c>
      <c r="H6" s="2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23"/>
      <c r="E7" s="10"/>
      <c r="F7" s="10"/>
      <c r="G7" s="10"/>
      <c r="H7" s="2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23"/>
      <c r="E8" s="10"/>
      <c r="F8" s="10"/>
      <c r="G8" s="10"/>
      <c r="H8" s="24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23"/>
      <c r="E9" s="10"/>
      <c r="F9" s="10"/>
      <c r="G9" s="10"/>
      <c r="H9" s="2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23"/>
      <c r="E10" s="10"/>
      <c r="F10" s="10"/>
      <c r="G10" s="10"/>
      <c r="H10" s="2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23"/>
      <c r="E11" s="10"/>
      <c r="F11" s="10"/>
      <c r="G11" s="10"/>
      <c r="H11" s="2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6" x14ac:dyDescent="0.3">
      <c r="A12" s="1"/>
      <c r="B12" s="1"/>
      <c r="C12" s="1"/>
      <c r="D12" s="23"/>
      <c r="E12" s="10"/>
      <c r="F12" s="10"/>
      <c r="G12" s="10"/>
      <c r="H12" s="2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6" x14ac:dyDescent="0.3">
      <c r="A13" s="1"/>
      <c r="B13" s="21" t="s">
        <v>37</v>
      </c>
      <c r="C13" s="21" t="s">
        <v>38</v>
      </c>
      <c r="D13" s="16" t="s">
        <v>39</v>
      </c>
      <c r="E13" s="64" t="s">
        <v>40</v>
      </c>
      <c r="F13" s="42"/>
      <c r="G13" s="43"/>
      <c r="H13" s="25" t="s">
        <v>41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64.5" customHeight="1" x14ac:dyDescent="0.3">
      <c r="A14" s="1"/>
      <c r="B14" s="27" t="s">
        <v>66</v>
      </c>
      <c r="C14" s="12" t="s">
        <v>67</v>
      </c>
      <c r="D14" s="12" t="s">
        <v>68</v>
      </c>
      <c r="E14" s="65" t="s">
        <v>69</v>
      </c>
      <c r="F14" s="42"/>
      <c r="G14" s="43"/>
      <c r="H14" s="18" t="s">
        <v>46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59.25" customHeight="1" x14ac:dyDescent="0.3">
      <c r="A15" s="1"/>
      <c r="B15" s="27" t="s">
        <v>70</v>
      </c>
      <c r="C15" s="12" t="s">
        <v>71</v>
      </c>
      <c r="D15" s="12" t="s">
        <v>190</v>
      </c>
      <c r="E15" s="65" t="s">
        <v>69</v>
      </c>
      <c r="F15" s="42"/>
      <c r="G15" s="43"/>
      <c r="H15" s="18" t="s">
        <v>46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61.5" customHeight="1" x14ac:dyDescent="0.3">
      <c r="A16" s="1"/>
      <c r="B16" s="27" t="s">
        <v>72</v>
      </c>
      <c r="C16" s="12" t="s">
        <v>73</v>
      </c>
      <c r="D16" s="12" t="s">
        <v>74</v>
      </c>
      <c r="E16" s="65" t="s">
        <v>75</v>
      </c>
      <c r="F16" s="42"/>
      <c r="G16" s="43"/>
      <c r="H16" s="18" t="s">
        <v>46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59.25" customHeight="1" x14ac:dyDescent="0.3">
      <c r="A17" s="1"/>
      <c r="B17" s="27" t="s">
        <v>76</v>
      </c>
      <c r="C17" s="12" t="s">
        <v>77</v>
      </c>
      <c r="D17" s="12" t="s">
        <v>191</v>
      </c>
      <c r="E17" s="65" t="s">
        <v>75</v>
      </c>
      <c r="F17" s="42"/>
      <c r="G17" s="43"/>
      <c r="H17" s="18" t="s">
        <v>46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57" customHeight="1" x14ac:dyDescent="0.3">
      <c r="A18" s="1"/>
      <c r="B18" s="27" t="s">
        <v>78</v>
      </c>
      <c r="C18" s="12" t="s">
        <v>79</v>
      </c>
      <c r="D18" s="12" t="s">
        <v>80</v>
      </c>
      <c r="E18" s="65" t="s">
        <v>81</v>
      </c>
      <c r="F18" s="42"/>
      <c r="G18" s="43"/>
      <c r="H18" s="18" t="s">
        <v>46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63" customHeight="1" x14ac:dyDescent="0.3">
      <c r="A19" s="1"/>
      <c r="B19" s="27" t="s">
        <v>82</v>
      </c>
      <c r="C19" s="12" t="s">
        <v>83</v>
      </c>
      <c r="D19" s="12" t="s">
        <v>84</v>
      </c>
      <c r="E19" s="65" t="s">
        <v>81</v>
      </c>
      <c r="F19" s="42"/>
      <c r="G19" s="43"/>
      <c r="H19" s="18" t="s">
        <v>46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59.25" customHeight="1" x14ac:dyDescent="0.3">
      <c r="A20" s="1"/>
      <c r="B20" s="27" t="s">
        <v>85</v>
      </c>
      <c r="C20" s="12" t="s">
        <v>86</v>
      </c>
      <c r="D20" s="12" t="s">
        <v>192</v>
      </c>
      <c r="E20" s="65" t="s">
        <v>87</v>
      </c>
      <c r="F20" s="42"/>
      <c r="G20" s="43"/>
      <c r="H20" s="18" t="s">
        <v>46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60.75" customHeight="1" x14ac:dyDescent="0.3">
      <c r="A21" s="1"/>
      <c r="B21" s="27" t="s">
        <v>88</v>
      </c>
      <c r="C21" s="12" t="s">
        <v>89</v>
      </c>
      <c r="D21" s="12" t="s">
        <v>193</v>
      </c>
      <c r="E21" s="65" t="s">
        <v>87</v>
      </c>
      <c r="F21" s="42"/>
      <c r="G21" s="43"/>
      <c r="H21" s="18" t="s">
        <v>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9.25" customHeight="1" x14ac:dyDescent="0.3">
      <c r="A22" s="1"/>
      <c r="B22" s="27" t="s">
        <v>90</v>
      </c>
      <c r="C22" s="12" t="s">
        <v>91</v>
      </c>
      <c r="D22" s="12" t="s">
        <v>92</v>
      </c>
      <c r="E22" s="65" t="s">
        <v>93</v>
      </c>
      <c r="F22" s="42"/>
      <c r="G22" s="43"/>
      <c r="H22" s="18" t="s">
        <v>46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74.25" customHeight="1" x14ac:dyDescent="0.3">
      <c r="A23" s="1"/>
      <c r="B23" s="27" t="s">
        <v>94</v>
      </c>
      <c r="C23" s="12" t="s">
        <v>95</v>
      </c>
      <c r="D23" s="12" t="s">
        <v>96</v>
      </c>
      <c r="E23" s="65" t="s">
        <v>97</v>
      </c>
      <c r="F23" s="68"/>
      <c r="G23" s="69"/>
      <c r="H23" s="18" t="s">
        <v>46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75" customHeight="1" x14ac:dyDescent="0.3">
      <c r="A24" s="1"/>
      <c r="B24" s="27" t="s">
        <v>98</v>
      </c>
      <c r="C24" s="12" t="s">
        <v>99</v>
      </c>
      <c r="D24" s="12" t="s">
        <v>100</v>
      </c>
      <c r="E24" s="65" t="s">
        <v>97</v>
      </c>
      <c r="F24" s="68"/>
      <c r="G24" s="69"/>
      <c r="H24" s="18" t="s">
        <v>46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73.5" customHeight="1" x14ac:dyDescent="0.3">
      <c r="A25" s="1"/>
      <c r="B25" s="27" t="s">
        <v>101</v>
      </c>
      <c r="C25" s="12" t="s">
        <v>102</v>
      </c>
      <c r="D25" s="12" t="s">
        <v>194</v>
      </c>
      <c r="E25" s="65" t="s">
        <v>103</v>
      </c>
      <c r="F25" s="68"/>
      <c r="G25" s="69"/>
      <c r="H25" s="18" t="s">
        <v>46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76.2" customHeight="1" x14ac:dyDescent="0.3">
      <c r="A26" s="1"/>
      <c r="B26" s="27" t="s">
        <v>104</v>
      </c>
      <c r="C26" s="12" t="s">
        <v>105</v>
      </c>
      <c r="D26" s="12" t="s">
        <v>195</v>
      </c>
      <c r="E26" s="65" t="s">
        <v>103</v>
      </c>
      <c r="F26" s="68"/>
      <c r="G26" s="69"/>
      <c r="H26" s="18" t="s">
        <v>46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83.4" customHeight="1" x14ac:dyDescent="0.3">
      <c r="A27" s="1"/>
      <c r="B27" s="27" t="s">
        <v>106</v>
      </c>
      <c r="C27" s="12" t="s">
        <v>107</v>
      </c>
      <c r="D27" s="12" t="s">
        <v>108</v>
      </c>
      <c r="E27" s="65" t="s">
        <v>81</v>
      </c>
      <c r="F27" s="68"/>
      <c r="G27" s="69"/>
      <c r="H27" s="18" t="s">
        <v>46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71.25" customHeight="1" x14ac:dyDescent="0.3">
      <c r="A28" s="1"/>
      <c r="B28" s="27" t="s">
        <v>109</v>
      </c>
      <c r="C28" s="12" t="s">
        <v>110</v>
      </c>
      <c r="D28" s="12" t="s">
        <v>111</v>
      </c>
      <c r="E28" s="65" t="s">
        <v>81</v>
      </c>
      <c r="F28" s="68"/>
      <c r="G28" s="69"/>
      <c r="H28" s="18" t="s">
        <v>46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77.25" customHeight="1" x14ac:dyDescent="0.3">
      <c r="A29" s="1"/>
      <c r="B29" s="27" t="s">
        <v>112</v>
      </c>
      <c r="C29" s="12" t="s">
        <v>113</v>
      </c>
      <c r="D29" s="12" t="s">
        <v>196</v>
      </c>
      <c r="E29" s="65" t="s">
        <v>87</v>
      </c>
      <c r="F29" s="68"/>
      <c r="G29" s="69"/>
      <c r="H29" s="18" t="s">
        <v>46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76.5" customHeight="1" x14ac:dyDescent="0.3">
      <c r="A30" s="1"/>
      <c r="B30" s="27" t="s">
        <v>114</v>
      </c>
      <c r="C30" s="12" t="s">
        <v>115</v>
      </c>
      <c r="D30" s="12" t="s">
        <v>197</v>
      </c>
      <c r="E30" s="65" t="s">
        <v>87</v>
      </c>
      <c r="F30" s="68"/>
      <c r="G30" s="69"/>
      <c r="H30" s="18" t="s">
        <v>46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"/>
      <c r="D31" s="23"/>
      <c r="E31" s="10"/>
      <c r="F31" s="10"/>
      <c r="G31" s="10"/>
      <c r="H31" s="24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6" x14ac:dyDescent="0.3">
      <c r="A32" s="1"/>
      <c r="B32" s="1"/>
      <c r="C32" s="1"/>
      <c r="D32" s="23"/>
      <c r="E32" s="10"/>
      <c r="F32" s="10"/>
      <c r="G32" s="10"/>
      <c r="H32" s="24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1"/>
      <c r="D33" s="23"/>
      <c r="E33" s="10"/>
      <c r="F33" s="10"/>
      <c r="G33" s="10"/>
      <c r="H33" s="2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1"/>
      <c r="D34" s="23"/>
      <c r="E34" s="10"/>
      <c r="F34" s="10"/>
      <c r="G34" s="10"/>
      <c r="H34" s="2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1"/>
      <c r="D35" s="23"/>
      <c r="E35" s="10"/>
      <c r="F35" s="10"/>
      <c r="G35" s="10"/>
      <c r="H35" s="24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1"/>
      <c r="B36" s="1"/>
      <c r="C36" s="1"/>
      <c r="D36" s="23"/>
      <c r="E36" s="10"/>
      <c r="F36" s="10"/>
      <c r="G36" s="10"/>
      <c r="H36" s="2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6" x14ac:dyDescent="0.3">
      <c r="A37" s="1"/>
      <c r="B37" s="1"/>
      <c r="C37" s="1"/>
      <c r="D37" s="23"/>
      <c r="E37" s="10"/>
      <c r="F37" s="10"/>
      <c r="G37" s="10"/>
      <c r="H37" s="2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6" x14ac:dyDescent="0.3">
      <c r="A38" s="1"/>
      <c r="B38" s="1"/>
      <c r="C38" s="1"/>
      <c r="D38" s="23"/>
      <c r="E38" s="10"/>
      <c r="F38" s="10"/>
      <c r="G38" s="10"/>
      <c r="H38" s="24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6" x14ac:dyDescent="0.3">
      <c r="A39" s="1"/>
      <c r="B39" s="1"/>
      <c r="C39" s="1"/>
      <c r="D39" s="23"/>
      <c r="E39" s="10"/>
      <c r="F39" s="10"/>
      <c r="G39" s="10"/>
      <c r="H39" s="2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6" x14ac:dyDescent="0.3">
      <c r="A40" s="1"/>
      <c r="B40" s="1"/>
      <c r="C40" s="1"/>
      <c r="D40" s="23"/>
      <c r="E40" s="10"/>
      <c r="F40" s="10"/>
      <c r="G40" s="10"/>
      <c r="H40" s="24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6" x14ac:dyDescent="0.3">
      <c r="A41" s="1"/>
      <c r="B41" s="1"/>
      <c r="C41" s="1"/>
      <c r="D41" s="23"/>
      <c r="E41" s="10"/>
      <c r="F41" s="10"/>
      <c r="G41" s="10"/>
      <c r="H41" s="24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6" x14ac:dyDescent="0.3">
      <c r="A42" s="1"/>
      <c r="B42" s="1"/>
      <c r="C42" s="1"/>
      <c r="D42" s="23"/>
      <c r="E42" s="10"/>
      <c r="F42" s="10"/>
      <c r="G42" s="10"/>
      <c r="H42" s="24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6" x14ac:dyDescent="0.3">
      <c r="A43" s="1"/>
      <c r="B43" s="1"/>
      <c r="C43" s="1"/>
      <c r="D43" s="23"/>
      <c r="E43" s="10"/>
      <c r="F43" s="10"/>
      <c r="G43" s="10"/>
      <c r="H43" s="24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6" x14ac:dyDescent="0.3">
      <c r="A44" s="1"/>
      <c r="B44" s="1"/>
      <c r="C44" s="1"/>
      <c r="D44" s="23"/>
      <c r="E44" s="10"/>
      <c r="F44" s="10"/>
      <c r="G44" s="10"/>
      <c r="H44" s="24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6" x14ac:dyDescent="0.3">
      <c r="A45" s="1"/>
      <c r="B45" s="1"/>
      <c r="C45" s="1"/>
      <c r="D45" s="23"/>
      <c r="E45" s="10"/>
      <c r="F45" s="10"/>
      <c r="G45" s="10"/>
      <c r="H45" s="24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6" x14ac:dyDescent="0.3">
      <c r="A46" s="1"/>
      <c r="B46" s="1"/>
      <c r="C46" s="1"/>
      <c r="D46" s="23"/>
      <c r="E46" s="10"/>
      <c r="F46" s="10"/>
      <c r="G46" s="10"/>
      <c r="H46" s="24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6" x14ac:dyDescent="0.3">
      <c r="A47" s="1"/>
      <c r="B47" s="1"/>
      <c r="C47" s="1"/>
      <c r="D47" s="23"/>
      <c r="E47" s="10"/>
      <c r="F47" s="10"/>
      <c r="G47" s="10"/>
      <c r="H47" s="24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6" x14ac:dyDescent="0.3">
      <c r="A48" s="1"/>
      <c r="B48" s="1"/>
      <c r="C48" s="1"/>
      <c r="D48" s="23"/>
      <c r="E48" s="10"/>
      <c r="F48" s="10"/>
      <c r="G48" s="10"/>
      <c r="H48" s="24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6" x14ac:dyDescent="0.3">
      <c r="A49" s="1"/>
      <c r="B49" s="1"/>
      <c r="C49" s="1"/>
      <c r="D49" s="23"/>
      <c r="E49" s="10"/>
      <c r="F49" s="10"/>
      <c r="G49" s="10"/>
      <c r="H49" s="24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6" x14ac:dyDescent="0.3">
      <c r="A50" s="1"/>
      <c r="B50" s="1"/>
      <c r="C50" s="1"/>
      <c r="D50" s="23"/>
      <c r="E50" s="10"/>
      <c r="F50" s="10"/>
      <c r="G50" s="10"/>
      <c r="H50" s="24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6" x14ac:dyDescent="0.3">
      <c r="A51" s="1"/>
      <c r="B51" s="1"/>
      <c r="C51" s="1"/>
      <c r="D51" s="23"/>
      <c r="E51" s="10"/>
      <c r="F51" s="10"/>
      <c r="G51" s="10"/>
      <c r="H51" s="24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6" x14ac:dyDescent="0.3">
      <c r="A52" s="1"/>
      <c r="B52" s="1"/>
      <c r="C52" s="1"/>
      <c r="D52" s="23"/>
      <c r="E52" s="10"/>
      <c r="F52" s="10"/>
      <c r="G52" s="10"/>
      <c r="H52" s="24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6" x14ac:dyDescent="0.3">
      <c r="A53" s="1"/>
      <c r="B53" s="1"/>
      <c r="C53" s="1"/>
      <c r="D53" s="23"/>
      <c r="E53" s="10"/>
      <c r="F53" s="10"/>
      <c r="G53" s="10"/>
      <c r="H53" s="24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6" x14ac:dyDescent="0.3">
      <c r="A54" s="1"/>
      <c r="B54" s="1"/>
      <c r="C54" s="1"/>
      <c r="D54" s="23"/>
      <c r="E54" s="10"/>
      <c r="F54" s="10"/>
      <c r="G54" s="10"/>
      <c r="H54" s="24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6" x14ac:dyDescent="0.3">
      <c r="A55" s="1"/>
      <c r="B55" s="1"/>
      <c r="C55" s="1"/>
      <c r="D55" s="23"/>
      <c r="E55" s="10"/>
      <c r="F55" s="10"/>
      <c r="G55" s="10"/>
      <c r="H55" s="24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6" x14ac:dyDescent="0.3">
      <c r="A56" s="1"/>
      <c r="B56" s="1"/>
      <c r="C56" s="1"/>
      <c r="D56" s="23"/>
      <c r="E56" s="10"/>
      <c r="F56" s="10"/>
      <c r="G56" s="10"/>
      <c r="H56" s="24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6" x14ac:dyDescent="0.3">
      <c r="A57" s="1"/>
      <c r="B57" s="1"/>
      <c r="C57" s="1"/>
      <c r="D57" s="23"/>
      <c r="E57" s="10"/>
      <c r="F57" s="10"/>
      <c r="G57" s="10"/>
      <c r="H57" s="24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6" x14ac:dyDescent="0.3">
      <c r="A58" s="1"/>
      <c r="B58" s="1"/>
      <c r="C58" s="1"/>
      <c r="D58" s="23"/>
      <c r="E58" s="10"/>
      <c r="F58" s="10"/>
      <c r="G58" s="10"/>
      <c r="H58" s="24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6" x14ac:dyDescent="0.3">
      <c r="A59" s="1"/>
      <c r="B59" s="1"/>
      <c r="C59" s="1"/>
      <c r="D59" s="23"/>
      <c r="E59" s="10"/>
      <c r="F59" s="10"/>
      <c r="G59" s="10"/>
      <c r="H59" s="24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6" x14ac:dyDescent="0.3">
      <c r="A60" s="1"/>
      <c r="B60" s="1"/>
      <c r="C60" s="1"/>
      <c r="D60" s="23"/>
      <c r="E60" s="10"/>
      <c r="F60" s="10"/>
      <c r="G60" s="10"/>
      <c r="H60" s="24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6" x14ac:dyDescent="0.3">
      <c r="A61" s="1"/>
      <c r="B61" s="1"/>
      <c r="C61" s="1"/>
      <c r="D61" s="23"/>
      <c r="E61" s="10"/>
      <c r="F61" s="10"/>
      <c r="G61" s="10"/>
      <c r="H61" s="2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6" x14ac:dyDescent="0.3">
      <c r="A62" s="1"/>
      <c r="B62" s="1"/>
      <c r="C62" s="1"/>
      <c r="D62" s="23"/>
      <c r="E62" s="10"/>
      <c r="F62" s="10"/>
      <c r="G62" s="10"/>
      <c r="H62" s="2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6" x14ac:dyDescent="0.3">
      <c r="A63" s="1"/>
      <c r="B63" s="1"/>
      <c r="C63" s="1"/>
      <c r="D63" s="23"/>
      <c r="E63" s="10"/>
      <c r="F63" s="10"/>
      <c r="G63" s="10"/>
      <c r="H63" s="2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6" x14ac:dyDescent="0.3">
      <c r="A64" s="1"/>
      <c r="B64" s="1"/>
      <c r="C64" s="1"/>
      <c r="D64" s="23"/>
      <c r="E64" s="10"/>
      <c r="F64" s="10"/>
      <c r="G64" s="10"/>
      <c r="H64" s="2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6" x14ac:dyDescent="0.3">
      <c r="A65" s="1"/>
      <c r="B65" s="1"/>
      <c r="C65" s="1"/>
      <c r="D65" s="23"/>
      <c r="E65" s="10"/>
      <c r="F65" s="10"/>
      <c r="G65" s="10"/>
      <c r="H65" s="2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6" x14ac:dyDescent="0.3">
      <c r="A66" s="1"/>
      <c r="B66" s="1"/>
      <c r="C66" s="1"/>
      <c r="D66" s="23"/>
      <c r="E66" s="10"/>
      <c r="F66" s="10"/>
      <c r="G66" s="10"/>
      <c r="H66" s="2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6" x14ac:dyDescent="0.3">
      <c r="A67" s="1"/>
      <c r="B67" s="1"/>
      <c r="C67" s="1"/>
      <c r="D67" s="23"/>
      <c r="E67" s="10"/>
      <c r="F67" s="10"/>
      <c r="G67" s="10"/>
      <c r="H67" s="2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6" x14ac:dyDescent="0.3">
      <c r="A68" s="1"/>
      <c r="B68" s="1"/>
      <c r="C68" s="1"/>
      <c r="D68" s="23"/>
      <c r="E68" s="10"/>
      <c r="F68" s="10"/>
      <c r="G68" s="10"/>
      <c r="H68" s="2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6" x14ac:dyDescent="0.3">
      <c r="A69" s="1"/>
      <c r="B69" s="1"/>
      <c r="C69" s="1"/>
      <c r="D69" s="23"/>
      <c r="E69" s="10"/>
      <c r="F69" s="10"/>
      <c r="G69" s="10"/>
      <c r="H69" s="2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6" x14ac:dyDescent="0.3">
      <c r="A70" s="1"/>
      <c r="B70" s="1"/>
      <c r="C70" s="1"/>
      <c r="D70" s="23"/>
      <c r="E70" s="10"/>
      <c r="F70" s="10"/>
      <c r="G70" s="10"/>
      <c r="H70" s="2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6" x14ac:dyDescent="0.3">
      <c r="A71" s="1"/>
      <c r="B71" s="1"/>
      <c r="C71" s="1"/>
      <c r="D71" s="23"/>
      <c r="E71" s="10"/>
      <c r="F71" s="10"/>
      <c r="G71" s="10"/>
      <c r="H71" s="2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6" x14ac:dyDescent="0.3">
      <c r="A72" s="1"/>
      <c r="B72" s="1"/>
      <c r="C72" s="1"/>
      <c r="D72" s="23"/>
      <c r="E72" s="10"/>
      <c r="F72" s="10"/>
      <c r="G72" s="10"/>
      <c r="H72" s="2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6" x14ac:dyDescent="0.3">
      <c r="A73" s="1"/>
      <c r="B73" s="1"/>
      <c r="C73" s="1"/>
      <c r="D73" s="23"/>
      <c r="E73" s="10"/>
      <c r="F73" s="10"/>
      <c r="G73" s="10"/>
      <c r="H73" s="2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6" x14ac:dyDescent="0.3">
      <c r="A74" s="1"/>
      <c r="B74" s="1"/>
      <c r="C74" s="1"/>
      <c r="D74" s="23"/>
      <c r="E74" s="10"/>
      <c r="F74" s="10"/>
      <c r="G74" s="10"/>
      <c r="H74" s="2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6" x14ac:dyDescent="0.3">
      <c r="A75" s="1"/>
      <c r="B75" s="1"/>
      <c r="C75" s="1"/>
      <c r="D75" s="23"/>
      <c r="E75" s="10"/>
      <c r="F75" s="10"/>
      <c r="G75" s="10"/>
      <c r="H75" s="2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6" x14ac:dyDescent="0.3">
      <c r="A76" s="1"/>
      <c r="B76" s="1"/>
      <c r="C76" s="1"/>
      <c r="D76" s="23"/>
      <c r="E76" s="10"/>
      <c r="F76" s="10"/>
      <c r="G76" s="10"/>
      <c r="H76" s="2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6" x14ac:dyDescent="0.3">
      <c r="A77" s="1"/>
      <c r="B77" s="1"/>
      <c r="C77" s="1"/>
      <c r="D77" s="23"/>
      <c r="E77" s="10"/>
      <c r="F77" s="10"/>
      <c r="G77" s="10"/>
      <c r="H77" s="2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6" x14ac:dyDescent="0.3">
      <c r="A78" s="1"/>
      <c r="B78" s="1"/>
      <c r="C78" s="1"/>
      <c r="D78" s="23"/>
      <c r="E78" s="10"/>
      <c r="F78" s="10"/>
      <c r="G78" s="10"/>
      <c r="H78" s="2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6" x14ac:dyDescent="0.3">
      <c r="A79" s="1"/>
      <c r="B79" s="1"/>
      <c r="C79" s="1"/>
      <c r="D79" s="23"/>
      <c r="E79" s="10"/>
      <c r="F79" s="10"/>
      <c r="G79" s="10"/>
      <c r="H79" s="2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6" x14ac:dyDescent="0.3">
      <c r="A80" s="1"/>
      <c r="B80" s="1"/>
      <c r="C80" s="1"/>
      <c r="D80" s="23"/>
      <c r="E80" s="10"/>
      <c r="F80" s="10"/>
      <c r="G80" s="10"/>
      <c r="H80" s="2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6" x14ac:dyDescent="0.3">
      <c r="A81" s="1"/>
      <c r="B81" s="1"/>
      <c r="C81" s="1"/>
      <c r="D81" s="23"/>
      <c r="E81" s="10"/>
      <c r="F81" s="10"/>
      <c r="G81" s="10"/>
      <c r="H81" s="2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6" x14ac:dyDescent="0.3">
      <c r="A82" s="1"/>
      <c r="B82" s="1"/>
      <c r="C82" s="1"/>
      <c r="D82" s="23"/>
      <c r="E82" s="10"/>
      <c r="F82" s="10"/>
      <c r="G82" s="10"/>
      <c r="H82" s="2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6" x14ac:dyDescent="0.3">
      <c r="A83" s="1"/>
      <c r="B83" s="1"/>
      <c r="C83" s="1"/>
      <c r="D83" s="23"/>
      <c r="E83" s="10"/>
      <c r="F83" s="10"/>
      <c r="G83" s="10"/>
      <c r="H83" s="2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6" x14ac:dyDescent="0.3">
      <c r="A84" s="1"/>
      <c r="B84" s="1"/>
      <c r="C84" s="1"/>
      <c r="D84" s="23"/>
      <c r="E84" s="10"/>
      <c r="F84" s="10"/>
      <c r="G84" s="10"/>
      <c r="H84" s="2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6" x14ac:dyDescent="0.3">
      <c r="A85" s="1"/>
      <c r="B85" s="1"/>
      <c r="C85" s="1"/>
      <c r="D85" s="23"/>
      <c r="E85" s="10"/>
      <c r="F85" s="10"/>
      <c r="G85" s="10"/>
      <c r="H85" s="2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6" x14ac:dyDescent="0.3">
      <c r="A86" s="1"/>
      <c r="B86" s="1"/>
      <c r="C86" s="1"/>
      <c r="D86" s="23"/>
      <c r="E86" s="10"/>
      <c r="F86" s="10"/>
      <c r="G86" s="10"/>
      <c r="H86" s="2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6" x14ac:dyDescent="0.3">
      <c r="A87" s="1"/>
      <c r="B87" s="1"/>
      <c r="C87" s="1"/>
      <c r="D87" s="23"/>
      <c r="E87" s="10"/>
      <c r="F87" s="10"/>
      <c r="G87" s="10"/>
      <c r="H87" s="2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6" x14ac:dyDescent="0.3">
      <c r="A88" s="1"/>
      <c r="B88" s="1"/>
      <c r="C88" s="1"/>
      <c r="D88" s="23"/>
      <c r="E88" s="10"/>
      <c r="F88" s="10"/>
      <c r="G88" s="10"/>
      <c r="H88" s="2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6" x14ac:dyDescent="0.3">
      <c r="A89" s="1"/>
      <c r="B89" s="1"/>
      <c r="C89" s="1"/>
      <c r="D89" s="23"/>
      <c r="E89" s="10"/>
      <c r="F89" s="10"/>
      <c r="G89" s="10"/>
      <c r="H89" s="2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6" x14ac:dyDescent="0.3">
      <c r="A90" s="1"/>
      <c r="B90" s="1"/>
      <c r="C90" s="1"/>
      <c r="D90" s="23"/>
      <c r="E90" s="10"/>
      <c r="F90" s="10"/>
      <c r="G90" s="10"/>
      <c r="H90" s="2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6" x14ac:dyDescent="0.3">
      <c r="A91" s="1"/>
      <c r="B91" s="1"/>
      <c r="C91" s="1"/>
      <c r="D91" s="23"/>
      <c r="E91" s="10"/>
      <c r="F91" s="10"/>
      <c r="G91" s="10"/>
      <c r="H91" s="2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6" x14ac:dyDescent="0.3">
      <c r="A92" s="1"/>
      <c r="B92" s="1"/>
      <c r="C92" s="1"/>
      <c r="D92" s="23"/>
      <c r="E92" s="10"/>
      <c r="F92" s="10"/>
      <c r="G92" s="10"/>
      <c r="H92" s="2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6" x14ac:dyDescent="0.3">
      <c r="A93" s="1"/>
      <c r="B93" s="1"/>
      <c r="C93" s="1"/>
      <c r="D93" s="23"/>
      <c r="E93" s="10"/>
      <c r="F93" s="10"/>
      <c r="G93" s="10"/>
      <c r="H93" s="2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6" x14ac:dyDescent="0.3">
      <c r="A94" s="1"/>
      <c r="B94" s="1"/>
      <c r="C94" s="1"/>
      <c r="D94" s="23"/>
      <c r="E94" s="10"/>
      <c r="F94" s="10"/>
      <c r="G94" s="10"/>
      <c r="H94" s="2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6" x14ac:dyDescent="0.3">
      <c r="A95" s="1"/>
      <c r="B95" s="1"/>
      <c r="C95" s="1"/>
      <c r="D95" s="23"/>
      <c r="E95" s="10"/>
      <c r="F95" s="10"/>
      <c r="G95" s="10"/>
      <c r="H95" s="2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6" x14ac:dyDescent="0.3">
      <c r="A96" s="1"/>
      <c r="B96" s="1"/>
      <c r="C96" s="1"/>
      <c r="D96" s="23"/>
      <c r="E96" s="10"/>
      <c r="F96" s="10"/>
      <c r="G96" s="10"/>
      <c r="H96" s="2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6" x14ac:dyDescent="0.3">
      <c r="A97" s="1"/>
      <c r="B97" s="1"/>
      <c r="C97" s="1"/>
      <c r="D97" s="23"/>
      <c r="E97" s="10"/>
      <c r="F97" s="10"/>
      <c r="G97" s="10"/>
      <c r="H97" s="2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6" x14ac:dyDescent="0.3">
      <c r="A98" s="1"/>
      <c r="B98" s="1"/>
      <c r="C98" s="1"/>
      <c r="D98" s="23"/>
      <c r="E98" s="10"/>
      <c r="F98" s="10"/>
      <c r="G98" s="10"/>
      <c r="H98" s="2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6" x14ac:dyDescent="0.3">
      <c r="A99" s="1"/>
      <c r="B99" s="1"/>
      <c r="C99" s="1"/>
      <c r="D99" s="23"/>
      <c r="E99" s="10"/>
      <c r="F99" s="10"/>
      <c r="G99" s="10"/>
      <c r="H99" s="2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6" x14ac:dyDescent="0.3">
      <c r="A100" s="1"/>
      <c r="B100" s="1"/>
      <c r="C100" s="1"/>
      <c r="D100" s="23"/>
      <c r="E100" s="10"/>
      <c r="F100" s="10"/>
      <c r="G100" s="10"/>
      <c r="H100" s="2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6" x14ac:dyDescent="0.3">
      <c r="A101" s="1"/>
      <c r="B101" s="1"/>
      <c r="C101" s="1"/>
      <c r="D101" s="23"/>
      <c r="E101" s="10"/>
      <c r="F101" s="10"/>
      <c r="G101" s="10"/>
      <c r="H101" s="2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6" x14ac:dyDescent="0.3">
      <c r="A102" s="1"/>
      <c r="B102" s="1"/>
      <c r="C102" s="1"/>
      <c r="D102" s="23"/>
      <c r="E102" s="10"/>
      <c r="F102" s="10"/>
      <c r="G102" s="10"/>
      <c r="H102" s="2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6" x14ac:dyDescent="0.3">
      <c r="A103" s="1"/>
      <c r="B103" s="1"/>
      <c r="C103" s="1"/>
      <c r="D103" s="23"/>
      <c r="E103" s="10"/>
      <c r="F103" s="10"/>
      <c r="G103" s="10"/>
      <c r="H103" s="2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6" x14ac:dyDescent="0.3">
      <c r="A104" s="1"/>
      <c r="B104" s="1"/>
      <c r="C104" s="1"/>
      <c r="D104" s="23"/>
      <c r="E104" s="10"/>
      <c r="F104" s="10"/>
      <c r="G104" s="10"/>
      <c r="H104" s="2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6" x14ac:dyDescent="0.3">
      <c r="A105" s="1"/>
      <c r="B105" s="1"/>
      <c r="C105" s="1"/>
      <c r="D105" s="23"/>
      <c r="E105" s="10"/>
      <c r="F105" s="10"/>
      <c r="G105" s="10"/>
      <c r="H105" s="2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6" x14ac:dyDescent="0.3">
      <c r="A106" s="1"/>
      <c r="B106" s="1"/>
      <c r="C106" s="1"/>
      <c r="D106" s="23"/>
      <c r="E106" s="10"/>
      <c r="F106" s="10"/>
      <c r="G106" s="10"/>
      <c r="H106" s="2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6" x14ac:dyDescent="0.3">
      <c r="A107" s="1"/>
      <c r="B107" s="1"/>
      <c r="C107" s="1"/>
      <c r="D107" s="23"/>
      <c r="E107" s="10"/>
      <c r="F107" s="10"/>
      <c r="G107" s="10"/>
      <c r="H107" s="2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6" x14ac:dyDescent="0.3">
      <c r="A108" s="1"/>
      <c r="B108" s="1"/>
      <c r="C108" s="1"/>
      <c r="D108" s="23"/>
      <c r="E108" s="10"/>
      <c r="F108" s="10"/>
      <c r="G108" s="10"/>
      <c r="H108" s="2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6" x14ac:dyDescent="0.3">
      <c r="A109" s="1"/>
      <c r="B109" s="1"/>
      <c r="C109" s="1"/>
      <c r="D109" s="23"/>
      <c r="E109" s="10"/>
      <c r="F109" s="10"/>
      <c r="G109" s="10"/>
      <c r="H109" s="2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6" x14ac:dyDescent="0.3">
      <c r="A110" s="1"/>
      <c r="B110" s="1"/>
      <c r="C110" s="1"/>
      <c r="D110" s="23"/>
      <c r="E110" s="10"/>
      <c r="F110" s="10"/>
      <c r="G110" s="10"/>
      <c r="H110" s="2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6" x14ac:dyDescent="0.3">
      <c r="A111" s="1"/>
      <c r="B111" s="1"/>
      <c r="C111" s="1"/>
      <c r="D111" s="23"/>
      <c r="E111" s="10"/>
      <c r="F111" s="10"/>
      <c r="G111" s="10"/>
      <c r="H111" s="2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6" x14ac:dyDescent="0.3">
      <c r="A112" s="1"/>
      <c r="B112" s="1"/>
      <c r="C112" s="1"/>
      <c r="D112" s="23"/>
      <c r="E112" s="10"/>
      <c r="F112" s="10"/>
      <c r="G112" s="10"/>
      <c r="H112" s="2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6" x14ac:dyDescent="0.3">
      <c r="A113" s="1"/>
      <c r="B113" s="1"/>
      <c r="C113" s="1"/>
      <c r="D113" s="23"/>
      <c r="E113" s="10"/>
      <c r="F113" s="10"/>
      <c r="G113" s="10"/>
      <c r="H113" s="2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6" x14ac:dyDescent="0.3">
      <c r="A114" s="1"/>
      <c r="B114" s="1"/>
      <c r="C114" s="1"/>
      <c r="D114" s="23"/>
      <c r="E114" s="10"/>
      <c r="F114" s="10"/>
      <c r="G114" s="10"/>
      <c r="H114" s="2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6" x14ac:dyDescent="0.3">
      <c r="A115" s="1"/>
      <c r="B115" s="1"/>
      <c r="C115" s="1"/>
      <c r="D115" s="23"/>
      <c r="E115" s="10"/>
      <c r="F115" s="10"/>
      <c r="G115" s="10"/>
      <c r="H115" s="2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6" x14ac:dyDescent="0.3">
      <c r="A116" s="1"/>
      <c r="B116" s="1"/>
      <c r="C116" s="1"/>
      <c r="D116" s="23"/>
      <c r="E116" s="10"/>
      <c r="F116" s="10"/>
      <c r="G116" s="10"/>
      <c r="H116" s="2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6" x14ac:dyDescent="0.3">
      <c r="A117" s="1"/>
      <c r="B117" s="1"/>
      <c r="C117" s="1"/>
      <c r="D117" s="23"/>
      <c r="E117" s="10"/>
      <c r="F117" s="10"/>
      <c r="G117" s="10"/>
      <c r="H117" s="2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6" x14ac:dyDescent="0.3">
      <c r="A118" s="1"/>
      <c r="B118" s="1"/>
      <c r="C118" s="1"/>
      <c r="D118" s="23"/>
      <c r="E118" s="10"/>
      <c r="F118" s="10"/>
      <c r="G118" s="10"/>
      <c r="H118" s="2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6" x14ac:dyDescent="0.3">
      <c r="A119" s="1"/>
      <c r="B119" s="1"/>
      <c r="C119" s="1"/>
      <c r="D119" s="23"/>
      <c r="E119" s="10"/>
      <c r="F119" s="10"/>
      <c r="G119" s="10"/>
      <c r="H119" s="2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6" x14ac:dyDescent="0.3">
      <c r="A120" s="1"/>
      <c r="B120" s="1"/>
      <c r="C120" s="1"/>
      <c r="D120" s="23"/>
      <c r="E120" s="10"/>
      <c r="F120" s="10"/>
      <c r="G120" s="10"/>
      <c r="H120" s="2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6" x14ac:dyDescent="0.3">
      <c r="A121" s="1"/>
      <c r="B121" s="1"/>
      <c r="C121" s="1"/>
      <c r="D121" s="23"/>
      <c r="E121" s="10"/>
      <c r="F121" s="10"/>
      <c r="G121" s="10"/>
      <c r="H121" s="2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6" x14ac:dyDescent="0.3">
      <c r="A122" s="1"/>
      <c r="B122" s="1"/>
      <c r="C122" s="1"/>
      <c r="D122" s="23"/>
      <c r="E122" s="10"/>
      <c r="F122" s="10"/>
      <c r="G122" s="10"/>
      <c r="H122" s="2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6" x14ac:dyDescent="0.3">
      <c r="A123" s="1"/>
      <c r="B123" s="1"/>
      <c r="C123" s="1"/>
      <c r="D123" s="23"/>
      <c r="E123" s="10"/>
      <c r="F123" s="10"/>
      <c r="G123" s="10"/>
      <c r="H123" s="2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6" x14ac:dyDescent="0.3">
      <c r="A124" s="1"/>
      <c r="B124" s="1"/>
      <c r="C124" s="1"/>
      <c r="D124" s="23"/>
      <c r="E124" s="10"/>
      <c r="F124" s="10"/>
      <c r="G124" s="10"/>
      <c r="H124" s="2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6" x14ac:dyDescent="0.3">
      <c r="A125" s="1"/>
      <c r="B125" s="1"/>
      <c r="C125" s="1"/>
      <c r="D125" s="23"/>
      <c r="E125" s="10"/>
      <c r="F125" s="10"/>
      <c r="G125" s="10"/>
      <c r="H125" s="2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6" x14ac:dyDescent="0.3">
      <c r="A126" s="1"/>
      <c r="B126" s="1"/>
      <c r="C126" s="1"/>
      <c r="D126" s="23"/>
      <c r="E126" s="10"/>
      <c r="F126" s="10"/>
      <c r="G126" s="10"/>
      <c r="H126" s="2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6" x14ac:dyDescent="0.3">
      <c r="A127" s="1"/>
      <c r="B127" s="1"/>
      <c r="C127" s="1"/>
      <c r="D127" s="23"/>
      <c r="E127" s="10"/>
      <c r="F127" s="10"/>
      <c r="G127" s="10"/>
      <c r="H127" s="2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6" x14ac:dyDescent="0.3">
      <c r="A128" s="1"/>
      <c r="B128" s="1"/>
      <c r="C128" s="1"/>
      <c r="D128" s="23"/>
      <c r="E128" s="10"/>
      <c r="F128" s="10"/>
      <c r="G128" s="10"/>
      <c r="H128" s="2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6" x14ac:dyDescent="0.3">
      <c r="A129" s="1"/>
      <c r="B129" s="1"/>
      <c r="C129" s="1"/>
      <c r="D129" s="23"/>
      <c r="E129" s="10"/>
      <c r="F129" s="10"/>
      <c r="G129" s="10"/>
      <c r="H129" s="2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6" x14ac:dyDescent="0.3">
      <c r="A130" s="1"/>
      <c r="B130" s="1"/>
      <c r="C130" s="1"/>
      <c r="D130" s="23"/>
      <c r="E130" s="10"/>
      <c r="F130" s="10"/>
      <c r="G130" s="10"/>
      <c r="H130" s="2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6" x14ac:dyDescent="0.3">
      <c r="A131" s="1"/>
      <c r="B131" s="1"/>
      <c r="C131" s="1"/>
      <c r="D131" s="23"/>
      <c r="E131" s="10"/>
      <c r="F131" s="10"/>
      <c r="G131" s="10"/>
      <c r="H131" s="2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6" x14ac:dyDescent="0.3">
      <c r="A132" s="1"/>
      <c r="B132" s="1"/>
      <c r="C132" s="1"/>
      <c r="D132" s="23"/>
      <c r="E132" s="10"/>
      <c r="F132" s="10"/>
      <c r="G132" s="10"/>
      <c r="H132" s="2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6" x14ac:dyDescent="0.3">
      <c r="A133" s="1"/>
      <c r="B133" s="1"/>
      <c r="C133" s="1"/>
      <c r="D133" s="23"/>
      <c r="E133" s="10"/>
      <c r="F133" s="10"/>
      <c r="G133" s="10"/>
      <c r="H133" s="2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6" x14ac:dyDescent="0.3">
      <c r="A134" s="1"/>
      <c r="B134" s="1"/>
      <c r="C134" s="1"/>
      <c r="D134" s="23"/>
      <c r="E134" s="10"/>
      <c r="F134" s="10"/>
      <c r="G134" s="10"/>
      <c r="H134" s="2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6" x14ac:dyDescent="0.3">
      <c r="A135" s="1"/>
      <c r="B135" s="1"/>
      <c r="C135" s="1"/>
      <c r="D135" s="23"/>
      <c r="E135" s="10"/>
      <c r="F135" s="10"/>
      <c r="G135" s="10"/>
      <c r="H135" s="2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6" x14ac:dyDescent="0.3">
      <c r="A136" s="1"/>
      <c r="B136" s="1"/>
      <c r="C136" s="1"/>
      <c r="D136" s="23"/>
      <c r="E136" s="10"/>
      <c r="F136" s="10"/>
      <c r="G136" s="10"/>
      <c r="H136" s="2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6" x14ac:dyDescent="0.3">
      <c r="A137" s="1"/>
      <c r="B137" s="1"/>
      <c r="C137" s="1"/>
      <c r="D137" s="23"/>
      <c r="E137" s="10"/>
      <c r="F137" s="10"/>
      <c r="G137" s="10"/>
      <c r="H137" s="2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6" x14ac:dyDescent="0.3">
      <c r="A138" s="1"/>
      <c r="B138" s="1"/>
      <c r="C138" s="1"/>
      <c r="D138" s="23"/>
      <c r="E138" s="10"/>
      <c r="F138" s="10"/>
      <c r="G138" s="10"/>
      <c r="H138" s="2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6" x14ac:dyDescent="0.3">
      <c r="A139" s="1"/>
      <c r="B139" s="1"/>
      <c r="C139" s="1"/>
      <c r="D139" s="23"/>
      <c r="E139" s="10"/>
      <c r="F139" s="10"/>
      <c r="G139" s="10"/>
      <c r="H139" s="2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6" x14ac:dyDescent="0.3">
      <c r="A140" s="1"/>
      <c r="B140" s="1"/>
      <c r="C140" s="1"/>
      <c r="D140" s="23"/>
      <c r="E140" s="10"/>
      <c r="F140" s="10"/>
      <c r="G140" s="10"/>
      <c r="H140" s="2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6" x14ac:dyDescent="0.3">
      <c r="A141" s="1"/>
      <c r="B141" s="1"/>
      <c r="C141" s="1"/>
      <c r="D141" s="23"/>
      <c r="E141" s="10"/>
      <c r="F141" s="10"/>
      <c r="G141" s="10"/>
      <c r="H141" s="2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6" x14ac:dyDescent="0.3">
      <c r="A142" s="1"/>
      <c r="B142" s="1"/>
      <c r="C142" s="1"/>
      <c r="D142" s="23"/>
      <c r="E142" s="10"/>
      <c r="F142" s="10"/>
      <c r="G142" s="10"/>
      <c r="H142" s="2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6" x14ac:dyDescent="0.3">
      <c r="A143" s="1"/>
      <c r="B143" s="1"/>
      <c r="C143" s="1"/>
      <c r="D143" s="23"/>
      <c r="E143" s="10"/>
      <c r="F143" s="10"/>
      <c r="G143" s="10"/>
      <c r="H143" s="2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6" x14ac:dyDescent="0.3">
      <c r="A144" s="1"/>
      <c r="B144" s="1"/>
      <c r="C144" s="1"/>
      <c r="D144" s="23"/>
      <c r="E144" s="10"/>
      <c r="F144" s="10"/>
      <c r="G144" s="10"/>
      <c r="H144" s="2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6" x14ac:dyDescent="0.3">
      <c r="A145" s="1"/>
      <c r="B145" s="1"/>
      <c r="C145" s="1"/>
      <c r="D145" s="23"/>
      <c r="E145" s="10"/>
      <c r="F145" s="10"/>
      <c r="G145" s="10"/>
      <c r="H145" s="2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6" x14ac:dyDescent="0.3">
      <c r="A146" s="1"/>
      <c r="B146" s="1"/>
      <c r="C146" s="1"/>
      <c r="D146" s="23"/>
      <c r="E146" s="10"/>
      <c r="F146" s="10"/>
      <c r="G146" s="10"/>
      <c r="H146" s="2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6" x14ac:dyDescent="0.3">
      <c r="A147" s="1"/>
      <c r="B147" s="1"/>
      <c r="C147" s="1"/>
      <c r="D147" s="23"/>
      <c r="E147" s="10"/>
      <c r="F147" s="10"/>
      <c r="G147" s="10"/>
      <c r="H147" s="2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6" x14ac:dyDescent="0.3">
      <c r="A148" s="1"/>
      <c r="B148" s="1"/>
      <c r="C148" s="1"/>
      <c r="D148" s="23"/>
      <c r="E148" s="10"/>
      <c r="F148" s="10"/>
      <c r="G148" s="10"/>
      <c r="H148" s="2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6" x14ac:dyDescent="0.3">
      <c r="A149" s="1"/>
      <c r="B149" s="1"/>
      <c r="C149" s="1"/>
      <c r="D149" s="23"/>
      <c r="E149" s="10"/>
      <c r="F149" s="10"/>
      <c r="G149" s="10"/>
      <c r="H149" s="2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6" x14ac:dyDescent="0.3">
      <c r="A150" s="1"/>
      <c r="B150" s="1"/>
      <c r="C150" s="1"/>
      <c r="D150" s="23"/>
      <c r="E150" s="10"/>
      <c r="F150" s="10"/>
      <c r="G150" s="10"/>
      <c r="H150" s="2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6" x14ac:dyDescent="0.3">
      <c r="A151" s="1"/>
      <c r="B151" s="1"/>
      <c r="C151" s="1"/>
      <c r="D151" s="23"/>
      <c r="E151" s="10"/>
      <c r="F151" s="10"/>
      <c r="G151" s="10"/>
      <c r="H151" s="2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6" x14ac:dyDescent="0.3">
      <c r="A152" s="1"/>
      <c r="B152" s="1"/>
      <c r="C152" s="1"/>
      <c r="D152" s="23"/>
      <c r="E152" s="10"/>
      <c r="F152" s="10"/>
      <c r="G152" s="10"/>
      <c r="H152" s="2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6" x14ac:dyDescent="0.3">
      <c r="A153" s="1"/>
      <c r="B153" s="1"/>
      <c r="C153" s="1"/>
      <c r="D153" s="23"/>
      <c r="E153" s="10"/>
      <c r="F153" s="10"/>
      <c r="G153" s="10"/>
      <c r="H153" s="2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6" x14ac:dyDescent="0.3">
      <c r="A154" s="1"/>
      <c r="B154" s="1"/>
      <c r="C154" s="1"/>
      <c r="D154" s="23"/>
      <c r="E154" s="10"/>
      <c r="F154" s="10"/>
      <c r="G154" s="10"/>
      <c r="H154" s="2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6" x14ac:dyDescent="0.3">
      <c r="A155" s="1"/>
      <c r="B155" s="1"/>
      <c r="C155" s="1"/>
      <c r="D155" s="23"/>
      <c r="E155" s="10"/>
      <c r="F155" s="10"/>
      <c r="G155" s="10"/>
      <c r="H155" s="2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6" x14ac:dyDescent="0.3">
      <c r="A156" s="1"/>
      <c r="B156" s="1"/>
      <c r="C156" s="1"/>
      <c r="D156" s="23"/>
      <c r="E156" s="10"/>
      <c r="F156" s="10"/>
      <c r="G156" s="10"/>
      <c r="H156" s="2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6" x14ac:dyDescent="0.3">
      <c r="A157" s="1"/>
      <c r="B157" s="1"/>
      <c r="C157" s="1"/>
      <c r="D157" s="23"/>
      <c r="E157" s="10"/>
      <c r="F157" s="10"/>
      <c r="G157" s="10"/>
      <c r="H157" s="2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6" x14ac:dyDescent="0.3">
      <c r="A158" s="1"/>
      <c r="B158" s="1"/>
      <c r="C158" s="1"/>
      <c r="D158" s="23"/>
      <c r="E158" s="10"/>
      <c r="F158" s="10"/>
      <c r="G158" s="10"/>
      <c r="H158" s="2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6" x14ac:dyDescent="0.3">
      <c r="A159" s="1"/>
      <c r="B159" s="1"/>
      <c r="C159" s="1"/>
      <c r="D159" s="23"/>
      <c r="E159" s="10"/>
      <c r="F159" s="10"/>
      <c r="G159" s="10"/>
      <c r="H159" s="2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6" x14ac:dyDescent="0.3">
      <c r="A160" s="1"/>
      <c r="B160" s="1"/>
      <c r="C160" s="1"/>
      <c r="D160" s="23"/>
      <c r="E160" s="10"/>
      <c r="F160" s="10"/>
      <c r="G160" s="10"/>
      <c r="H160" s="2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6" x14ac:dyDescent="0.3">
      <c r="A161" s="1"/>
      <c r="B161" s="1"/>
      <c r="C161" s="1"/>
      <c r="D161" s="23"/>
      <c r="E161" s="10"/>
      <c r="F161" s="10"/>
      <c r="G161" s="10"/>
      <c r="H161" s="2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6" x14ac:dyDescent="0.3">
      <c r="A162" s="1"/>
      <c r="B162" s="1"/>
      <c r="C162" s="1"/>
      <c r="D162" s="23"/>
      <c r="E162" s="10"/>
      <c r="F162" s="10"/>
      <c r="G162" s="10"/>
      <c r="H162" s="2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6" x14ac:dyDescent="0.3">
      <c r="A163" s="1"/>
      <c r="B163" s="1"/>
      <c r="C163" s="1"/>
      <c r="D163" s="23"/>
      <c r="E163" s="10"/>
      <c r="F163" s="10"/>
      <c r="G163" s="10"/>
      <c r="H163" s="2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6" x14ac:dyDescent="0.3">
      <c r="A164" s="1"/>
      <c r="B164" s="1"/>
      <c r="C164" s="1"/>
      <c r="D164" s="23"/>
      <c r="E164" s="10"/>
      <c r="F164" s="10"/>
      <c r="G164" s="10"/>
      <c r="H164" s="2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6" x14ac:dyDescent="0.3">
      <c r="A165" s="1"/>
      <c r="B165" s="1"/>
      <c r="C165" s="1"/>
      <c r="D165" s="23"/>
      <c r="E165" s="10"/>
      <c r="F165" s="10"/>
      <c r="G165" s="10"/>
      <c r="H165" s="2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6" x14ac:dyDescent="0.3">
      <c r="A166" s="1"/>
      <c r="B166" s="1"/>
      <c r="C166" s="1"/>
      <c r="D166" s="23"/>
      <c r="E166" s="10"/>
      <c r="F166" s="10"/>
      <c r="G166" s="10"/>
      <c r="H166" s="2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6" x14ac:dyDescent="0.3">
      <c r="A167" s="1"/>
      <c r="B167" s="1"/>
      <c r="C167" s="1"/>
      <c r="D167" s="23"/>
      <c r="E167" s="10"/>
      <c r="F167" s="10"/>
      <c r="G167" s="10"/>
      <c r="H167" s="2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6" x14ac:dyDescent="0.3">
      <c r="A168" s="1"/>
      <c r="B168" s="1"/>
      <c r="C168" s="1"/>
      <c r="D168" s="23"/>
      <c r="E168" s="10"/>
      <c r="F168" s="10"/>
      <c r="G168" s="10"/>
      <c r="H168" s="2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6" x14ac:dyDescent="0.3">
      <c r="A169" s="1"/>
      <c r="B169" s="1"/>
      <c r="C169" s="1"/>
      <c r="D169" s="23"/>
      <c r="E169" s="10"/>
      <c r="F169" s="10"/>
      <c r="G169" s="10"/>
      <c r="H169" s="2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6" x14ac:dyDescent="0.3">
      <c r="A170" s="1"/>
      <c r="B170" s="1"/>
      <c r="C170" s="1"/>
      <c r="D170" s="23"/>
      <c r="E170" s="10"/>
      <c r="F170" s="10"/>
      <c r="G170" s="10"/>
      <c r="H170" s="2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6" x14ac:dyDescent="0.3">
      <c r="A171" s="1"/>
      <c r="B171" s="1"/>
      <c r="C171" s="1"/>
      <c r="D171" s="23"/>
      <c r="E171" s="10"/>
      <c r="F171" s="10"/>
      <c r="G171" s="10"/>
      <c r="H171" s="2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6" x14ac:dyDescent="0.3">
      <c r="A172" s="1"/>
      <c r="B172" s="1"/>
      <c r="C172" s="1"/>
      <c r="D172" s="23"/>
      <c r="E172" s="10"/>
      <c r="F172" s="10"/>
      <c r="G172" s="10"/>
      <c r="H172" s="2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6" x14ac:dyDescent="0.3">
      <c r="A173" s="1"/>
      <c r="B173" s="1"/>
      <c r="C173" s="1"/>
      <c r="D173" s="23"/>
      <c r="E173" s="10"/>
      <c r="F173" s="10"/>
      <c r="G173" s="10"/>
      <c r="H173" s="2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6" x14ac:dyDescent="0.3">
      <c r="A174" s="1"/>
      <c r="B174" s="1"/>
      <c r="C174" s="1"/>
      <c r="D174" s="23"/>
      <c r="E174" s="10"/>
      <c r="F174" s="10"/>
      <c r="G174" s="10"/>
      <c r="H174" s="2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6" x14ac:dyDescent="0.3">
      <c r="A175" s="1"/>
      <c r="B175" s="1"/>
      <c r="C175" s="1"/>
      <c r="D175" s="23"/>
      <c r="E175" s="10"/>
      <c r="F175" s="10"/>
      <c r="G175" s="10"/>
      <c r="H175" s="2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6" x14ac:dyDescent="0.3">
      <c r="A176" s="1"/>
      <c r="B176" s="1"/>
      <c r="C176" s="1"/>
      <c r="D176" s="23"/>
      <c r="E176" s="10"/>
      <c r="F176" s="10"/>
      <c r="G176" s="10"/>
      <c r="H176" s="24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6" x14ac:dyDescent="0.3">
      <c r="A177" s="1"/>
      <c r="B177" s="1"/>
      <c r="C177" s="1"/>
      <c r="D177" s="23"/>
      <c r="E177" s="10"/>
      <c r="F177" s="10"/>
      <c r="G177" s="10"/>
      <c r="H177" s="24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6" x14ac:dyDescent="0.3">
      <c r="A178" s="1"/>
      <c r="B178" s="1"/>
      <c r="C178" s="1"/>
      <c r="D178" s="23"/>
      <c r="E178" s="10"/>
      <c r="F178" s="10"/>
      <c r="G178" s="10"/>
      <c r="H178" s="24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6" x14ac:dyDescent="0.3">
      <c r="A179" s="1"/>
      <c r="B179" s="1"/>
      <c r="C179" s="1"/>
      <c r="D179" s="23"/>
      <c r="E179" s="10"/>
      <c r="F179" s="10"/>
      <c r="G179" s="10"/>
      <c r="H179" s="24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6" x14ac:dyDescent="0.3">
      <c r="A180" s="1"/>
      <c r="B180" s="1"/>
      <c r="C180" s="1"/>
      <c r="D180" s="23"/>
      <c r="E180" s="10"/>
      <c r="F180" s="10"/>
      <c r="G180" s="10"/>
      <c r="H180" s="24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6" x14ac:dyDescent="0.3">
      <c r="A181" s="1"/>
      <c r="B181" s="1"/>
      <c r="C181" s="1"/>
      <c r="D181" s="23"/>
      <c r="E181" s="10"/>
      <c r="F181" s="10"/>
      <c r="G181" s="10"/>
      <c r="H181" s="24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6" x14ac:dyDescent="0.3">
      <c r="A182" s="1"/>
      <c r="B182" s="1"/>
      <c r="C182" s="1"/>
      <c r="D182" s="23"/>
      <c r="E182" s="10"/>
      <c r="F182" s="10"/>
      <c r="G182" s="10"/>
      <c r="H182" s="24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6" x14ac:dyDescent="0.3">
      <c r="A183" s="1"/>
      <c r="B183" s="1"/>
      <c r="C183" s="1"/>
      <c r="D183" s="23"/>
      <c r="E183" s="10"/>
      <c r="F183" s="10"/>
      <c r="G183" s="10"/>
      <c r="H183" s="24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6" x14ac:dyDescent="0.3">
      <c r="A184" s="1"/>
      <c r="B184" s="1"/>
      <c r="C184" s="1"/>
      <c r="D184" s="23"/>
      <c r="E184" s="10"/>
      <c r="F184" s="10"/>
      <c r="G184" s="10"/>
      <c r="H184" s="24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6" x14ac:dyDescent="0.3">
      <c r="A185" s="1"/>
      <c r="B185" s="1"/>
      <c r="C185" s="1"/>
      <c r="D185" s="23"/>
      <c r="E185" s="10"/>
      <c r="F185" s="10"/>
      <c r="G185" s="10"/>
      <c r="H185" s="24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6" x14ac:dyDescent="0.3">
      <c r="A186" s="1"/>
      <c r="B186" s="1"/>
      <c r="C186" s="1"/>
      <c r="D186" s="23"/>
      <c r="E186" s="10"/>
      <c r="F186" s="10"/>
      <c r="G186" s="10"/>
      <c r="H186" s="24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6" x14ac:dyDescent="0.3">
      <c r="A187" s="1"/>
      <c r="B187" s="1"/>
      <c r="C187" s="1"/>
      <c r="D187" s="23"/>
      <c r="E187" s="10"/>
      <c r="F187" s="10"/>
      <c r="G187" s="10"/>
      <c r="H187" s="24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6" x14ac:dyDescent="0.3">
      <c r="A188" s="1"/>
      <c r="B188" s="1"/>
      <c r="C188" s="1"/>
      <c r="D188" s="23"/>
      <c r="E188" s="10"/>
      <c r="F188" s="10"/>
      <c r="G188" s="10"/>
      <c r="H188" s="24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6" x14ac:dyDescent="0.3">
      <c r="A189" s="1"/>
      <c r="B189" s="1"/>
      <c r="C189" s="1"/>
      <c r="D189" s="23"/>
      <c r="E189" s="10"/>
      <c r="F189" s="10"/>
      <c r="G189" s="10"/>
      <c r="H189" s="24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6" x14ac:dyDescent="0.3">
      <c r="A190" s="1"/>
      <c r="B190" s="1"/>
      <c r="C190" s="1"/>
      <c r="D190" s="23"/>
      <c r="E190" s="10"/>
      <c r="F190" s="10"/>
      <c r="G190" s="10"/>
      <c r="H190" s="24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6" x14ac:dyDescent="0.3">
      <c r="A191" s="1"/>
      <c r="B191" s="1"/>
      <c r="C191" s="1"/>
      <c r="D191" s="23"/>
      <c r="E191" s="10"/>
      <c r="F191" s="10"/>
      <c r="G191" s="10"/>
      <c r="H191" s="24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6" x14ac:dyDescent="0.3">
      <c r="A192" s="1"/>
      <c r="B192" s="1"/>
      <c r="C192" s="1"/>
      <c r="D192" s="23"/>
      <c r="E192" s="10"/>
      <c r="F192" s="10"/>
      <c r="G192" s="10"/>
      <c r="H192" s="24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6" x14ac:dyDescent="0.3">
      <c r="A193" s="1"/>
      <c r="B193" s="1"/>
      <c r="C193" s="1"/>
      <c r="D193" s="23"/>
      <c r="E193" s="10"/>
      <c r="F193" s="10"/>
      <c r="G193" s="10"/>
      <c r="H193" s="24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6" x14ac:dyDescent="0.3">
      <c r="A194" s="1"/>
      <c r="B194" s="1"/>
      <c r="C194" s="1"/>
      <c r="D194" s="23"/>
      <c r="E194" s="10"/>
      <c r="F194" s="10"/>
      <c r="G194" s="10"/>
      <c r="H194" s="24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6" x14ac:dyDescent="0.3">
      <c r="A195" s="1"/>
      <c r="B195" s="1"/>
      <c r="C195" s="1"/>
      <c r="D195" s="23"/>
      <c r="E195" s="10"/>
      <c r="F195" s="10"/>
      <c r="G195" s="10"/>
      <c r="H195" s="24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6" x14ac:dyDescent="0.3">
      <c r="A196" s="1"/>
      <c r="B196" s="1"/>
      <c r="C196" s="1"/>
      <c r="D196" s="23"/>
      <c r="E196" s="10"/>
      <c r="F196" s="10"/>
      <c r="G196" s="10"/>
      <c r="H196" s="24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6" x14ac:dyDescent="0.3">
      <c r="A197" s="1"/>
      <c r="B197" s="1"/>
      <c r="C197" s="1"/>
      <c r="D197" s="23"/>
      <c r="E197" s="10"/>
      <c r="F197" s="10"/>
      <c r="G197" s="10"/>
      <c r="H197" s="24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6" x14ac:dyDescent="0.3">
      <c r="A198" s="1"/>
      <c r="B198" s="1"/>
      <c r="C198" s="1"/>
      <c r="D198" s="23"/>
      <c r="E198" s="10"/>
      <c r="F198" s="10"/>
      <c r="G198" s="10"/>
      <c r="H198" s="24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6" x14ac:dyDescent="0.3">
      <c r="A199" s="1"/>
      <c r="B199" s="1"/>
      <c r="C199" s="1"/>
      <c r="D199" s="23"/>
      <c r="E199" s="10"/>
      <c r="F199" s="10"/>
      <c r="G199" s="10"/>
      <c r="H199" s="24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6" x14ac:dyDescent="0.3">
      <c r="A200" s="1"/>
      <c r="B200" s="1"/>
      <c r="C200" s="1"/>
      <c r="D200" s="23"/>
      <c r="E200" s="10"/>
      <c r="F200" s="10"/>
      <c r="G200" s="10"/>
      <c r="H200" s="24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6" x14ac:dyDescent="0.3">
      <c r="A201" s="1"/>
      <c r="B201" s="1"/>
      <c r="C201" s="1"/>
      <c r="D201" s="23"/>
      <c r="E201" s="10"/>
      <c r="F201" s="10"/>
      <c r="G201" s="10"/>
      <c r="H201" s="24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6" x14ac:dyDescent="0.3">
      <c r="A202" s="1"/>
      <c r="B202" s="1"/>
      <c r="C202" s="1"/>
      <c r="D202" s="23"/>
      <c r="E202" s="10"/>
      <c r="F202" s="10"/>
      <c r="G202" s="10"/>
      <c r="H202" s="24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6" x14ac:dyDescent="0.3">
      <c r="A203" s="1"/>
      <c r="B203" s="1"/>
      <c r="C203" s="1"/>
      <c r="D203" s="23"/>
      <c r="E203" s="10"/>
      <c r="F203" s="10"/>
      <c r="G203" s="10"/>
      <c r="H203" s="24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6" x14ac:dyDescent="0.3">
      <c r="A204" s="1"/>
      <c r="B204" s="1"/>
      <c r="C204" s="1"/>
      <c r="D204" s="23"/>
      <c r="E204" s="10"/>
      <c r="F204" s="10"/>
      <c r="G204" s="10"/>
      <c r="H204" s="24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6" x14ac:dyDescent="0.3">
      <c r="A205" s="1"/>
      <c r="B205" s="1"/>
      <c r="C205" s="1"/>
      <c r="D205" s="23"/>
      <c r="E205" s="10"/>
      <c r="F205" s="10"/>
      <c r="G205" s="10"/>
      <c r="H205" s="24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6" x14ac:dyDescent="0.3">
      <c r="A206" s="1"/>
      <c r="B206" s="1"/>
      <c r="C206" s="1"/>
      <c r="D206" s="23"/>
      <c r="E206" s="10"/>
      <c r="F206" s="10"/>
      <c r="G206" s="10"/>
      <c r="H206" s="24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6" x14ac:dyDescent="0.3">
      <c r="A207" s="1"/>
      <c r="B207" s="1"/>
      <c r="C207" s="1"/>
      <c r="D207" s="23"/>
      <c r="E207" s="10"/>
      <c r="F207" s="10"/>
      <c r="G207" s="10"/>
      <c r="H207" s="24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6" x14ac:dyDescent="0.3">
      <c r="A208" s="1"/>
      <c r="B208" s="1"/>
      <c r="C208" s="1"/>
      <c r="D208" s="23"/>
      <c r="E208" s="10"/>
      <c r="F208" s="10"/>
      <c r="G208" s="10"/>
      <c r="H208" s="24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6" x14ac:dyDescent="0.3">
      <c r="A209" s="1"/>
      <c r="B209" s="1"/>
      <c r="C209" s="1"/>
      <c r="D209" s="23"/>
      <c r="E209" s="10"/>
      <c r="F209" s="10"/>
      <c r="G209" s="10"/>
      <c r="H209" s="24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6" x14ac:dyDescent="0.3">
      <c r="A210" s="1"/>
      <c r="B210" s="1"/>
      <c r="C210" s="1"/>
      <c r="D210" s="23"/>
      <c r="E210" s="10"/>
      <c r="F210" s="10"/>
      <c r="G210" s="10"/>
      <c r="H210" s="24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6" x14ac:dyDescent="0.3">
      <c r="A211" s="1"/>
      <c r="B211" s="1"/>
      <c r="C211" s="1"/>
      <c r="D211" s="23"/>
      <c r="E211" s="10"/>
      <c r="F211" s="10"/>
      <c r="G211" s="10"/>
      <c r="H211" s="24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6" x14ac:dyDescent="0.3">
      <c r="A212" s="1"/>
      <c r="B212" s="1"/>
      <c r="C212" s="1"/>
      <c r="D212" s="23"/>
      <c r="E212" s="10"/>
      <c r="F212" s="10"/>
      <c r="G212" s="10"/>
      <c r="H212" s="24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6" x14ac:dyDescent="0.3">
      <c r="A213" s="1"/>
      <c r="B213" s="1"/>
      <c r="C213" s="1"/>
      <c r="D213" s="23"/>
      <c r="E213" s="10"/>
      <c r="F213" s="10"/>
      <c r="G213" s="10"/>
      <c r="H213" s="24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6" x14ac:dyDescent="0.3">
      <c r="A214" s="1"/>
      <c r="B214" s="1"/>
      <c r="C214" s="1"/>
      <c r="D214" s="23"/>
      <c r="E214" s="10"/>
      <c r="F214" s="10"/>
      <c r="G214" s="10"/>
      <c r="H214" s="24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6" x14ac:dyDescent="0.3">
      <c r="A215" s="1"/>
      <c r="B215" s="1"/>
      <c r="C215" s="1"/>
      <c r="D215" s="23"/>
      <c r="E215" s="10"/>
      <c r="F215" s="10"/>
      <c r="G215" s="10"/>
      <c r="H215" s="24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6" x14ac:dyDescent="0.3">
      <c r="A216" s="1"/>
      <c r="B216" s="1"/>
      <c r="C216" s="1"/>
      <c r="D216" s="23"/>
      <c r="E216" s="10"/>
      <c r="F216" s="10"/>
      <c r="G216" s="10"/>
      <c r="H216" s="24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6" x14ac:dyDescent="0.3">
      <c r="A217" s="1"/>
      <c r="B217" s="1"/>
      <c r="C217" s="1"/>
      <c r="D217" s="23"/>
      <c r="E217" s="10"/>
      <c r="F217" s="10"/>
      <c r="G217" s="10"/>
      <c r="H217" s="24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6" x14ac:dyDescent="0.3">
      <c r="A218" s="1"/>
      <c r="B218" s="1"/>
      <c r="C218" s="1"/>
      <c r="D218" s="23"/>
      <c r="E218" s="10"/>
      <c r="F218" s="10"/>
      <c r="G218" s="10"/>
      <c r="H218" s="24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6" x14ac:dyDescent="0.3">
      <c r="A219" s="1"/>
      <c r="B219" s="1"/>
      <c r="C219" s="1"/>
      <c r="D219" s="23"/>
      <c r="E219" s="10"/>
      <c r="F219" s="10"/>
      <c r="G219" s="10"/>
      <c r="H219" s="24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6" x14ac:dyDescent="0.3">
      <c r="A220" s="1"/>
      <c r="B220" s="1"/>
      <c r="C220" s="1"/>
      <c r="D220" s="23"/>
      <c r="E220" s="10"/>
      <c r="F220" s="10"/>
      <c r="G220" s="10"/>
      <c r="H220" s="24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6" x14ac:dyDescent="0.3">
      <c r="A221" s="1"/>
      <c r="B221" s="1"/>
      <c r="C221" s="1"/>
      <c r="D221" s="23"/>
      <c r="E221" s="10"/>
      <c r="F221" s="10"/>
      <c r="G221" s="10"/>
      <c r="H221" s="24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6" x14ac:dyDescent="0.3">
      <c r="A222" s="1"/>
      <c r="B222" s="1"/>
      <c r="C222" s="1"/>
      <c r="D222" s="23"/>
      <c r="E222" s="10"/>
      <c r="F222" s="10"/>
      <c r="G222" s="10"/>
      <c r="H222" s="24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6" x14ac:dyDescent="0.3">
      <c r="A223" s="1"/>
      <c r="B223" s="1"/>
      <c r="C223" s="1"/>
      <c r="D223" s="23"/>
      <c r="E223" s="10"/>
      <c r="F223" s="10"/>
      <c r="G223" s="10"/>
      <c r="H223" s="24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6" x14ac:dyDescent="0.3">
      <c r="A224" s="1"/>
      <c r="B224" s="1"/>
      <c r="C224" s="1"/>
      <c r="D224" s="23"/>
      <c r="E224" s="10"/>
      <c r="F224" s="10"/>
      <c r="G224" s="10"/>
      <c r="H224" s="24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6" x14ac:dyDescent="0.3">
      <c r="A225" s="1"/>
      <c r="B225" s="1"/>
      <c r="C225" s="1"/>
      <c r="D225" s="23"/>
      <c r="E225" s="10"/>
      <c r="F225" s="10"/>
      <c r="G225" s="10"/>
      <c r="H225" s="24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6" x14ac:dyDescent="0.3">
      <c r="A226" s="1"/>
      <c r="B226" s="1"/>
      <c r="C226" s="1"/>
      <c r="D226" s="23"/>
      <c r="E226" s="10"/>
      <c r="F226" s="10"/>
      <c r="G226" s="10"/>
      <c r="H226" s="24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6" x14ac:dyDescent="0.3">
      <c r="A227" s="1"/>
      <c r="B227" s="1"/>
      <c r="C227" s="1"/>
      <c r="D227" s="23"/>
      <c r="E227" s="10"/>
      <c r="F227" s="10"/>
      <c r="G227" s="10"/>
      <c r="H227" s="24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6" x14ac:dyDescent="0.3">
      <c r="A228" s="1"/>
      <c r="B228" s="1"/>
      <c r="C228" s="1"/>
      <c r="D228" s="23"/>
      <c r="E228" s="10"/>
      <c r="F228" s="10"/>
      <c r="G228" s="10"/>
      <c r="H228" s="24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6" x14ac:dyDescent="0.3">
      <c r="A229" s="1"/>
      <c r="B229" s="1"/>
      <c r="C229" s="1"/>
      <c r="D229" s="23"/>
      <c r="E229" s="10"/>
      <c r="F229" s="10"/>
      <c r="G229" s="10"/>
      <c r="H229" s="24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6" x14ac:dyDescent="0.3">
      <c r="A230" s="1"/>
      <c r="B230" s="1"/>
      <c r="C230" s="1"/>
      <c r="D230" s="23"/>
      <c r="E230" s="10"/>
      <c r="F230" s="10"/>
      <c r="G230" s="10"/>
      <c r="H230" s="24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6" x14ac:dyDescent="0.3">
      <c r="A231" s="1"/>
      <c r="B231" s="1"/>
      <c r="C231" s="1"/>
      <c r="D231" s="23"/>
      <c r="E231" s="10"/>
      <c r="F231" s="10"/>
      <c r="G231" s="10"/>
      <c r="H231" s="24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6" x14ac:dyDescent="0.3">
      <c r="A232" s="1"/>
      <c r="B232" s="1"/>
      <c r="C232" s="1"/>
      <c r="D232" s="23"/>
      <c r="E232" s="10"/>
      <c r="F232" s="10"/>
      <c r="G232" s="10"/>
      <c r="H232" s="24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6" x14ac:dyDescent="0.3">
      <c r="A233" s="1"/>
      <c r="B233" s="1"/>
      <c r="C233" s="1"/>
      <c r="D233" s="23"/>
      <c r="E233" s="10"/>
      <c r="F233" s="10"/>
      <c r="G233" s="10"/>
      <c r="H233" s="24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6" x14ac:dyDescent="0.3">
      <c r="A234" s="1"/>
      <c r="B234" s="1"/>
      <c r="C234" s="1"/>
      <c r="D234" s="23"/>
      <c r="E234" s="10"/>
      <c r="F234" s="10"/>
      <c r="G234" s="10"/>
      <c r="H234" s="24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6" x14ac:dyDescent="0.3">
      <c r="A235" s="1"/>
      <c r="B235" s="1"/>
      <c r="C235" s="1"/>
      <c r="D235" s="23"/>
      <c r="E235" s="10"/>
      <c r="F235" s="10"/>
      <c r="G235" s="10"/>
      <c r="H235" s="24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6" x14ac:dyDescent="0.3">
      <c r="A236" s="1"/>
      <c r="B236" s="1"/>
      <c r="C236" s="1"/>
      <c r="D236" s="23"/>
      <c r="E236" s="10"/>
      <c r="F236" s="10"/>
      <c r="G236" s="10"/>
      <c r="H236" s="24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6" x14ac:dyDescent="0.3">
      <c r="A237" s="1"/>
      <c r="B237" s="1"/>
      <c r="C237" s="1"/>
      <c r="D237" s="23"/>
      <c r="E237" s="10"/>
      <c r="F237" s="10"/>
      <c r="G237" s="10"/>
      <c r="H237" s="24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6" x14ac:dyDescent="0.3">
      <c r="A238" s="1"/>
      <c r="B238" s="1"/>
      <c r="C238" s="1"/>
      <c r="D238" s="23"/>
      <c r="E238" s="10"/>
      <c r="F238" s="10"/>
      <c r="G238" s="10"/>
      <c r="H238" s="24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6" x14ac:dyDescent="0.3">
      <c r="A239" s="1"/>
      <c r="B239" s="1"/>
      <c r="C239" s="1"/>
      <c r="D239" s="23"/>
      <c r="E239" s="10"/>
      <c r="F239" s="10"/>
      <c r="G239" s="10"/>
      <c r="H239" s="24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6" x14ac:dyDescent="0.3">
      <c r="A240" s="1"/>
      <c r="B240" s="1"/>
      <c r="C240" s="1"/>
      <c r="D240" s="23"/>
      <c r="E240" s="10"/>
      <c r="F240" s="10"/>
      <c r="G240" s="10"/>
      <c r="H240" s="24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6" x14ac:dyDescent="0.3">
      <c r="A241" s="1"/>
      <c r="B241" s="1"/>
      <c r="C241" s="1"/>
      <c r="D241" s="23"/>
      <c r="E241" s="10"/>
      <c r="F241" s="10"/>
      <c r="G241" s="10"/>
      <c r="H241" s="24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6" x14ac:dyDescent="0.3">
      <c r="A242" s="1"/>
      <c r="B242" s="1"/>
      <c r="C242" s="1"/>
      <c r="D242" s="23"/>
      <c r="E242" s="10"/>
      <c r="F242" s="10"/>
      <c r="G242" s="10"/>
      <c r="H242" s="24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6" x14ac:dyDescent="0.3">
      <c r="A243" s="1"/>
      <c r="B243" s="1"/>
      <c r="C243" s="1"/>
      <c r="D243" s="23"/>
      <c r="E243" s="10"/>
      <c r="F243" s="10"/>
      <c r="G243" s="10"/>
      <c r="H243" s="24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6" x14ac:dyDescent="0.3">
      <c r="A244" s="1"/>
      <c r="B244" s="1"/>
      <c r="C244" s="1"/>
      <c r="D244" s="23"/>
      <c r="E244" s="10"/>
      <c r="F244" s="10"/>
      <c r="G244" s="10"/>
      <c r="H244" s="24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6" x14ac:dyDescent="0.3">
      <c r="A245" s="1"/>
      <c r="B245" s="1"/>
      <c r="C245" s="1"/>
      <c r="D245" s="23"/>
      <c r="E245" s="10"/>
      <c r="F245" s="10"/>
      <c r="G245" s="10"/>
      <c r="H245" s="24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6" x14ac:dyDescent="0.3">
      <c r="A246" s="1"/>
      <c r="B246" s="1"/>
      <c r="C246" s="1"/>
      <c r="D246" s="23"/>
      <c r="E246" s="10"/>
      <c r="F246" s="10"/>
      <c r="G246" s="10"/>
      <c r="H246" s="24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6" x14ac:dyDescent="0.3">
      <c r="A247" s="1"/>
      <c r="B247" s="1"/>
      <c r="C247" s="1"/>
      <c r="D247" s="23"/>
      <c r="E247" s="10"/>
      <c r="F247" s="10"/>
      <c r="G247" s="10"/>
      <c r="H247" s="24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6" x14ac:dyDescent="0.3">
      <c r="A248" s="1"/>
      <c r="B248" s="1"/>
      <c r="C248" s="1"/>
      <c r="D248" s="23"/>
      <c r="E248" s="10"/>
      <c r="F248" s="10"/>
      <c r="G248" s="10"/>
      <c r="H248" s="24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6" x14ac:dyDescent="0.3">
      <c r="A249" s="1"/>
      <c r="B249" s="1"/>
      <c r="C249" s="1"/>
      <c r="D249" s="23"/>
      <c r="E249" s="10"/>
      <c r="F249" s="10"/>
      <c r="G249" s="10"/>
      <c r="H249" s="24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6" x14ac:dyDescent="0.3">
      <c r="A250" s="1"/>
      <c r="B250" s="1"/>
      <c r="C250" s="1"/>
      <c r="D250" s="23"/>
      <c r="E250" s="10"/>
      <c r="F250" s="10"/>
      <c r="G250" s="10"/>
      <c r="H250" s="24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6" x14ac:dyDescent="0.3">
      <c r="A251" s="1"/>
      <c r="B251" s="1"/>
      <c r="C251" s="1"/>
      <c r="D251" s="23"/>
      <c r="E251" s="10"/>
      <c r="F251" s="10"/>
      <c r="G251" s="10"/>
      <c r="H251" s="24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6" x14ac:dyDescent="0.3">
      <c r="A252" s="1"/>
      <c r="B252" s="1"/>
      <c r="C252" s="1"/>
      <c r="D252" s="23"/>
      <c r="E252" s="10"/>
      <c r="F252" s="10"/>
      <c r="G252" s="10"/>
      <c r="H252" s="24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6" x14ac:dyDescent="0.3">
      <c r="A253" s="1"/>
      <c r="B253" s="1"/>
      <c r="C253" s="1"/>
      <c r="D253" s="23"/>
      <c r="E253" s="10"/>
      <c r="F253" s="10"/>
      <c r="G253" s="10"/>
      <c r="H253" s="24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6" x14ac:dyDescent="0.3">
      <c r="A254" s="1"/>
      <c r="B254" s="1"/>
      <c r="C254" s="1"/>
      <c r="D254" s="23"/>
      <c r="E254" s="10"/>
      <c r="F254" s="10"/>
      <c r="G254" s="10"/>
      <c r="H254" s="24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6" x14ac:dyDescent="0.3">
      <c r="A255" s="1"/>
      <c r="B255" s="1"/>
      <c r="C255" s="1"/>
      <c r="D255" s="23"/>
      <c r="E255" s="10"/>
      <c r="F255" s="10"/>
      <c r="G255" s="10"/>
      <c r="H255" s="24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6" x14ac:dyDescent="0.3">
      <c r="A256" s="1"/>
      <c r="B256" s="1"/>
      <c r="C256" s="1"/>
      <c r="D256" s="23"/>
      <c r="E256" s="10"/>
      <c r="F256" s="10"/>
      <c r="G256" s="10"/>
      <c r="H256" s="24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6" x14ac:dyDescent="0.3">
      <c r="A257" s="1"/>
      <c r="B257" s="1"/>
      <c r="C257" s="1"/>
      <c r="D257" s="23"/>
      <c r="E257" s="10"/>
      <c r="F257" s="10"/>
      <c r="G257" s="10"/>
      <c r="H257" s="24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6" x14ac:dyDescent="0.3">
      <c r="A258" s="1"/>
      <c r="B258" s="1"/>
      <c r="C258" s="1"/>
      <c r="D258" s="23"/>
      <c r="E258" s="10"/>
      <c r="F258" s="10"/>
      <c r="G258" s="10"/>
      <c r="H258" s="24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6" x14ac:dyDescent="0.3">
      <c r="A259" s="1"/>
      <c r="B259" s="1"/>
      <c r="C259" s="1"/>
      <c r="D259" s="23"/>
      <c r="E259" s="10"/>
      <c r="F259" s="10"/>
      <c r="G259" s="10"/>
      <c r="H259" s="24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6" x14ac:dyDescent="0.3">
      <c r="A260" s="1"/>
      <c r="B260" s="1"/>
      <c r="C260" s="1"/>
      <c r="D260" s="23"/>
      <c r="E260" s="10"/>
      <c r="F260" s="10"/>
      <c r="G260" s="10"/>
      <c r="H260" s="24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6" x14ac:dyDescent="0.3">
      <c r="A261" s="1"/>
      <c r="B261" s="1"/>
      <c r="C261" s="1"/>
      <c r="D261" s="23"/>
      <c r="E261" s="10"/>
      <c r="F261" s="10"/>
      <c r="G261" s="10"/>
      <c r="H261" s="24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6" x14ac:dyDescent="0.3">
      <c r="A262" s="1"/>
      <c r="B262" s="1"/>
      <c r="C262" s="1"/>
      <c r="D262" s="23"/>
      <c r="E262" s="10"/>
      <c r="F262" s="10"/>
      <c r="G262" s="10"/>
      <c r="H262" s="24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6" x14ac:dyDescent="0.3">
      <c r="A263" s="1"/>
      <c r="B263" s="1"/>
      <c r="C263" s="1"/>
      <c r="D263" s="23"/>
      <c r="E263" s="10"/>
      <c r="F263" s="10"/>
      <c r="G263" s="10"/>
      <c r="H263" s="24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6" x14ac:dyDescent="0.3">
      <c r="A264" s="1"/>
      <c r="B264" s="1"/>
      <c r="C264" s="1"/>
      <c r="D264" s="23"/>
      <c r="E264" s="10"/>
      <c r="F264" s="10"/>
      <c r="G264" s="10"/>
      <c r="H264" s="24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6" x14ac:dyDescent="0.3">
      <c r="A265" s="1"/>
      <c r="B265" s="1"/>
      <c r="C265" s="1"/>
      <c r="D265" s="23"/>
      <c r="E265" s="10"/>
      <c r="F265" s="10"/>
      <c r="G265" s="10"/>
      <c r="H265" s="24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6" x14ac:dyDescent="0.3">
      <c r="A266" s="1"/>
      <c r="B266" s="1"/>
      <c r="C266" s="1"/>
      <c r="D266" s="23"/>
      <c r="E266" s="10"/>
      <c r="F266" s="10"/>
      <c r="G266" s="10"/>
      <c r="H266" s="24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6" x14ac:dyDescent="0.3">
      <c r="A267" s="1"/>
      <c r="B267" s="1"/>
      <c r="C267" s="1"/>
      <c r="D267" s="23"/>
      <c r="E267" s="10"/>
      <c r="F267" s="10"/>
      <c r="G267" s="10"/>
      <c r="H267" s="24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6" x14ac:dyDescent="0.3">
      <c r="A268" s="1"/>
      <c r="B268" s="1"/>
      <c r="C268" s="1"/>
      <c r="D268" s="23"/>
      <c r="E268" s="10"/>
      <c r="F268" s="10"/>
      <c r="G268" s="10"/>
      <c r="H268" s="24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6" x14ac:dyDescent="0.3">
      <c r="A269" s="1"/>
      <c r="B269" s="1"/>
      <c r="C269" s="1"/>
      <c r="D269" s="23"/>
      <c r="E269" s="10"/>
      <c r="F269" s="10"/>
      <c r="G269" s="10"/>
      <c r="H269" s="24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6" x14ac:dyDescent="0.3">
      <c r="A270" s="1"/>
      <c r="B270" s="1"/>
      <c r="C270" s="1"/>
      <c r="D270" s="23"/>
      <c r="E270" s="10"/>
      <c r="F270" s="10"/>
      <c r="G270" s="10"/>
      <c r="H270" s="24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6" x14ac:dyDescent="0.3">
      <c r="A271" s="1"/>
      <c r="B271" s="1"/>
      <c r="C271" s="1"/>
      <c r="D271" s="23"/>
      <c r="E271" s="10"/>
      <c r="F271" s="10"/>
      <c r="G271" s="10"/>
      <c r="H271" s="24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6" x14ac:dyDescent="0.3">
      <c r="A272" s="1"/>
      <c r="B272" s="1"/>
      <c r="C272" s="1"/>
      <c r="D272" s="23"/>
      <c r="E272" s="10"/>
      <c r="F272" s="10"/>
      <c r="G272" s="10"/>
      <c r="H272" s="24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6" x14ac:dyDescent="0.3">
      <c r="A273" s="1"/>
      <c r="B273" s="1"/>
      <c r="C273" s="1"/>
      <c r="D273" s="23"/>
      <c r="E273" s="10"/>
      <c r="F273" s="10"/>
      <c r="G273" s="10"/>
      <c r="H273" s="24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6" x14ac:dyDescent="0.3">
      <c r="A274" s="1"/>
      <c r="B274" s="1"/>
      <c r="C274" s="1"/>
      <c r="D274" s="23"/>
      <c r="E274" s="10"/>
      <c r="F274" s="10"/>
      <c r="G274" s="10"/>
      <c r="H274" s="24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6" x14ac:dyDescent="0.3">
      <c r="A275" s="1"/>
      <c r="B275" s="1"/>
      <c r="C275" s="1"/>
      <c r="D275" s="23"/>
      <c r="E275" s="10"/>
      <c r="F275" s="10"/>
      <c r="G275" s="10"/>
      <c r="H275" s="24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6" x14ac:dyDescent="0.3">
      <c r="A276" s="1"/>
      <c r="B276" s="1"/>
      <c r="C276" s="1"/>
      <c r="D276" s="23"/>
      <c r="E276" s="10"/>
      <c r="F276" s="10"/>
      <c r="G276" s="10"/>
      <c r="H276" s="24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6" x14ac:dyDescent="0.3">
      <c r="A277" s="1"/>
      <c r="B277" s="1"/>
      <c r="C277" s="1"/>
      <c r="D277" s="23"/>
      <c r="E277" s="10"/>
      <c r="F277" s="10"/>
      <c r="G277" s="10"/>
      <c r="H277" s="24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6" x14ac:dyDescent="0.3">
      <c r="A278" s="1"/>
      <c r="B278" s="1"/>
      <c r="C278" s="1"/>
      <c r="D278" s="23"/>
      <c r="E278" s="10"/>
      <c r="F278" s="10"/>
      <c r="G278" s="10"/>
      <c r="H278" s="24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6" x14ac:dyDescent="0.3">
      <c r="A279" s="1"/>
      <c r="B279" s="1"/>
      <c r="C279" s="1"/>
      <c r="D279" s="23"/>
      <c r="E279" s="10"/>
      <c r="F279" s="10"/>
      <c r="G279" s="10"/>
      <c r="H279" s="24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6" x14ac:dyDescent="0.3">
      <c r="A280" s="1"/>
      <c r="B280" s="1"/>
      <c r="C280" s="1"/>
      <c r="D280" s="23"/>
      <c r="E280" s="10"/>
      <c r="F280" s="10"/>
      <c r="G280" s="10"/>
      <c r="H280" s="2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6" x14ac:dyDescent="0.3">
      <c r="A281" s="1"/>
      <c r="B281" s="1"/>
      <c r="C281" s="1"/>
      <c r="D281" s="23"/>
      <c r="E281" s="10"/>
      <c r="F281" s="10"/>
      <c r="G281" s="10"/>
      <c r="H281" s="24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6" x14ac:dyDescent="0.3">
      <c r="A282" s="1"/>
      <c r="B282" s="1"/>
      <c r="C282" s="1"/>
      <c r="D282" s="23"/>
      <c r="E282" s="10"/>
      <c r="F282" s="10"/>
      <c r="G282" s="10"/>
      <c r="H282" s="24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6" x14ac:dyDescent="0.3">
      <c r="A283" s="1"/>
      <c r="B283" s="1"/>
      <c r="C283" s="1"/>
      <c r="D283" s="23"/>
      <c r="E283" s="10"/>
      <c r="F283" s="10"/>
      <c r="G283" s="10"/>
      <c r="H283" s="24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6" x14ac:dyDescent="0.3">
      <c r="A284" s="1"/>
      <c r="B284" s="1"/>
      <c r="C284" s="1"/>
      <c r="D284" s="23"/>
      <c r="E284" s="10"/>
      <c r="F284" s="10"/>
      <c r="G284" s="10"/>
      <c r="H284" s="24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6" x14ac:dyDescent="0.3">
      <c r="A285" s="1"/>
      <c r="B285" s="1"/>
      <c r="C285" s="1"/>
      <c r="D285" s="23"/>
      <c r="E285" s="10"/>
      <c r="F285" s="10"/>
      <c r="G285" s="10"/>
      <c r="H285" s="24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6" x14ac:dyDescent="0.3">
      <c r="A286" s="1"/>
      <c r="B286" s="1"/>
      <c r="C286" s="1"/>
      <c r="D286" s="23"/>
      <c r="E286" s="10"/>
      <c r="F286" s="10"/>
      <c r="G286" s="10"/>
      <c r="H286" s="2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6" x14ac:dyDescent="0.3">
      <c r="A287" s="1"/>
      <c r="B287" s="1"/>
      <c r="C287" s="1"/>
      <c r="D287" s="23"/>
      <c r="E287" s="10"/>
      <c r="F287" s="10"/>
      <c r="G287" s="10"/>
      <c r="H287" s="24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6" x14ac:dyDescent="0.3">
      <c r="A288" s="1"/>
      <c r="B288" s="1"/>
      <c r="C288" s="1"/>
      <c r="D288" s="23"/>
      <c r="E288" s="10"/>
      <c r="F288" s="10"/>
      <c r="G288" s="10"/>
      <c r="H288" s="24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6" x14ac:dyDescent="0.3">
      <c r="A289" s="1"/>
      <c r="B289" s="1"/>
      <c r="C289" s="1"/>
      <c r="D289" s="23"/>
      <c r="E289" s="10"/>
      <c r="F289" s="10"/>
      <c r="G289" s="10"/>
      <c r="H289" s="24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6" x14ac:dyDescent="0.3">
      <c r="A290" s="1"/>
      <c r="B290" s="1"/>
      <c r="C290" s="1"/>
      <c r="D290" s="23"/>
      <c r="E290" s="10"/>
      <c r="F290" s="10"/>
      <c r="G290" s="10"/>
      <c r="H290" s="24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6" x14ac:dyDescent="0.3">
      <c r="A291" s="1"/>
      <c r="B291" s="1"/>
      <c r="C291" s="1"/>
      <c r="D291" s="23"/>
      <c r="E291" s="10"/>
      <c r="F291" s="10"/>
      <c r="G291" s="10"/>
      <c r="H291" s="24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6" x14ac:dyDescent="0.3">
      <c r="A292" s="1"/>
      <c r="B292" s="1"/>
      <c r="C292" s="1"/>
      <c r="D292" s="23"/>
      <c r="E292" s="10"/>
      <c r="F292" s="10"/>
      <c r="G292" s="10"/>
      <c r="H292" s="24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6" x14ac:dyDescent="0.3">
      <c r="A293" s="1"/>
      <c r="B293" s="1"/>
      <c r="C293" s="1"/>
      <c r="D293" s="23"/>
      <c r="E293" s="10"/>
      <c r="F293" s="10"/>
      <c r="G293" s="10"/>
      <c r="H293" s="24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6" x14ac:dyDescent="0.3">
      <c r="A294" s="1"/>
      <c r="B294" s="1"/>
      <c r="C294" s="1"/>
      <c r="D294" s="23"/>
      <c r="E294" s="10"/>
      <c r="F294" s="10"/>
      <c r="G294" s="10"/>
      <c r="H294" s="24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6" x14ac:dyDescent="0.3">
      <c r="A295" s="1"/>
      <c r="B295" s="1"/>
      <c r="C295" s="1"/>
      <c r="D295" s="23"/>
      <c r="E295" s="10"/>
      <c r="F295" s="10"/>
      <c r="G295" s="10"/>
      <c r="H295" s="24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6" x14ac:dyDescent="0.3">
      <c r="A296" s="1"/>
      <c r="B296" s="1"/>
      <c r="C296" s="1"/>
      <c r="D296" s="23"/>
      <c r="E296" s="10"/>
      <c r="F296" s="10"/>
      <c r="G296" s="10"/>
      <c r="H296" s="24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6" x14ac:dyDescent="0.3">
      <c r="A297" s="1"/>
      <c r="B297" s="1"/>
      <c r="C297" s="1"/>
      <c r="D297" s="23"/>
      <c r="E297" s="10"/>
      <c r="F297" s="10"/>
      <c r="G297" s="10"/>
      <c r="H297" s="24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6" x14ac:dyDescent="0.3">
      <c r="A298" s="1"/>
      <c r="B298" s="1"/>
      <c r="C298" s="1"/>
      <c r="D298" s="23"/>
      <c r="E298" s="10"/>
      <c r="F298" s="10"/>
      <c r="G298" s="10"/>
      <c r="H298" s="24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6" x14ac:dyDescent="0.3">
      <c r="A299" s="1"/>
      <c r="B299" s="1"/>
      <c r="C299" s="1"/>
      <c r="D299" s="23"/>
      <c r="E299" s="10"/>
      <c r="F299" s="10"/>
      <c r="G299" s="10"/>
      <c r="H299" s="24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6" x14ac:dyDescent="0.3">
      <c r="A300" s="1"/>
      <c r="B300" s="1"/>
      <c r="C300" s="1"/>
      <c r="D300" s="23"/>
      <c r="E300" s="10"/>
      <c r="F300" s="10"/>
      <c r="G300" s="10"/>
      <c r="H300" s="24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6" x14ac:dyDescent="0.3">
      <c r="A301" s="1"/>
      <c r="B301" s="1"/>
      <c r="C301" s="1"/>
      <c r="D301" s="23"/>
      <c r="E301" s="10"/>
      <c r="F301" s="10"/>
      <c r="G301" s="10"/>
      <c r="H301" s="24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6" x14ac:dyDescent="0.3">
      <c r="A302" s="1"/>
      <c r="B302" s="1"/>
      <c r="C302" s="1"/>
      <c r="D302" s="23"/>
      <c r="E302" s="10"/>
      <c r="F302" s="10"/>
      <c r="G302" s="10"/>
      <c r="H302" s="24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6" x14ac:dyDescent="0.3">
      <c r="A303" s="1"/>
      <c r="B303" s="1"/>
      <c r="C303" s="1"/>
      <c r="D303" s="23"/>
      <c r="E303" s="10"/>
      <c r="F303" s="10"/>
      <c r="G303" s="10"/>
      <c r="H303" s="24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6" x14ac:dyDescent="0.3">
      <c r="A304" s="1"/>
      <c r="B304" s="1"/>
      <c r="C304" s="1"/>
      <c r="D304" s="23"/>
      <c r="E304" s="10"/>
      <c r="F304" s="10"/>
      <c r="G304" s="10"/>
      <c r="H304" s="24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6" x14ac:dyDescent="0.3">
      <c r="A305" s="1"/>
      <c r="B305" s="1"/>
      <c r="C305" s="1"/>
      <c r="D305" s="23"/>
      <c r="E305" s="10"/>
      <c r="F305" s="10"/>
      <c r="G305" s="10"/>
      <c r="H305" s="24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6" x14ac:dyDescent="0.3">
      <c r="A306" s="1"/>
      <c r="B306" s="1"/>
      <c r="C306" s="1"/>
      <c r="D306" s="23"/>
      <c r="E306" s="10"/>
      <c r="F306" s="10"/>
      <c r="G306" s="10"/>
      <c r="H306" s="24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6" x14ac:dyDescent="0.3">
      <c r="A307" s="1"/>
      <c r="B307" s="1"/>
      <c r="C307" s="1"/>
      <c r="D307" s="23"/>
      <c r="E307" s="10"/>
      <c r="F307" s="10"/>
      <c r="G307" s="10"/>
      <c r="H307" s="24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6" x14ac:dyDescent="0.3">
      <c r="A308" s="1"/>
      <c r="B308" s="1"/>
      <c r="C308" s="1"/>
      <c r="D308" s="23"/>
      <c r="E308" s="10"/>
      <c r="F308" s="10"/>
      <c r="G308" s="10"/>
      <c r="H308" s="24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6" x14ac:dyDescent="0.3">
      <c r="A309" s="1"/>
      <c r="B309" s="1"/>
      <c r="C309" s="1"/>
      <c r="D309" s="23"/>
      <c r="E309" s="10"/>
      <c r="F309" s="10"/>
      <c r="G309" s="10"/>
      <c r="H309" s="24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6" x14ac:dyDescent="0.3">
      <c r="A310" s="1"/>
      <c r="B310" s="1"/>
      <c r="C310" s="1"/>
      <c r="D310" s="23"/>
      <c r="E310" s="10"/>
      <c r="F310" s="10"/>
      <c r="G310" s="10"/>
      <c r="H310" s="24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6" x14ac:dyDescent="0.3">
      <c r="A311" s="1"/>
      <c r="B311" s="1"/>
      <c r="C311" s="1"/>
      <c r="D311" s="23"/>
      <c r="E311" s="10"/>
      <c r="F311" s="10"/>
      <c r="G311" s="10"/>
      <c r="H311" s="24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6" x14ac:dyDescent="0.3">
      <c r="A312" s="1"/>
      <c r="B312" s="1"/>
      <c r="C312" s="1"/>
      <c r="D312" s="23"/>
      <c r="E312" s="10"/>
      <c r="F312" s="10"/>
      <c r="G312" s="10"/>
      <c r="H312" s="24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6" x14ac:dyDescent="0.3">
      <c r="A313" s="1"/>
      <c r="B313" s="1"/>
      <c r="C313" s="1"/>
      <c r="D313" s="23"/>
      <c r="E313" s="10"/>
      <c r="F313" s="10"/>
      <c r="G313" s="10"/>
      <c r="H313" s="24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6" x14ac:dyDescent="0.3">
      <c r="A314" s="1"/>
      <c r="B314" s="1"/>
      <c r="C314" s="1"/>
      <c r="D314" s="23"/>
      <c r="E314" s="10"/>
      <c r="F314" s="10"/>
      <c r="G314" s="10"/>
      <c r="H314" s="24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6" x14ac:dyDescent="0.3">
      <c r="A315" s="1"/>
      <c r="B315" s="1"/>
      <c r="C315" s="1"/>
      <c r="D315" s="23"/>
      <c r="E315" s="10"/>
      <c r="F315" s="10"/>
      <c r="G315" s="10"/>
      <c r="H315" s="24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6" x14ac:dyDescent="0.3">
      <c r="A316" s="1"/>
      <c r="B316" s="1"/>
      <c r="C316" s="1"/>
      <c r="D316" s="23"/>
      <c r="E316" s="10"/>
      <c r="F316" s="10"/>
      <c r="G316" s="10"/>
      <c r="H316" s="24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6" x14ac:dyDescent="0.3">
      <c r="A317" s="1"/>
      <c r="B317" s="1"/>
      <c r="C317" s="1"/>
      <c r="D317" s="23"/>
      <c r="E317" s="10"/>
      <c r="F317" s="10"/>
      <c r="G317" s="10"/>
      <c r="H317" s="24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6" x14ac:dyDescent="0.3">
      <c r="A318" s="1"/>
      <c r="B318" s="1"/>
      <c r="C318" s="1"/>
      <c r="D318" s="23"/>
      <c r="E318" s="10"/>
      <c r="F318" s="10"/>
      <c r="G318" s="10"/>
      <c r="H318" s="24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6" x14ac:dyDescent="0.3">
      <c r="A319" s="1"/>
      <c r="B319" s="1"/>
      <c r="C319" s="1"/>
      <c r="D319" s="23"/>
      <c r="E319" s="10"/>
      <c r="F319" s="10"/>
      <c r="G319" s="10"/>
      <c r="H319" s="24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6" x14ac:dyDescent="0.3">
      <c r="A320" s="1"/>
      <c r="B320" s="1"/>
      <c r="C320" s="1"/>
      <c r="D320" s="23"/>
      <c r="E320" s="10"/>
      <c r="F320" s="10"/>
      <c r="G320" s="10"/>
      <c r="H320" s="24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6" x14ac:dyDescent="0.3">
      <c r="A321" s="1"/>
      <c r="B321" s="1"/>
      <c r="C321" s="1"/>
      <c r="D321" s="23"/>
      <c r="E321" s="10"/>
      <c r="F321" s="10"/>
      <c r="G321" s="10"/>
      <c r="H321" s="24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6" x14ac:dyDescent="0.3">
      <c r="A322" s="1"/>
      <c r="B322" s="1"/>
      <c r="C322" s="1"/>
      <c r="D322" s="23"/>
      <c r="E322" s="10"/>
      <c r="F322" s="10"/>
      <c r="G322" s="10"/>
      <c r="H322" s="24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6" x14ac:dyDescent="0.3">
      <c r="A323" s="1"/>
      <c r="B323" s="1"/>
      <c r="C323" s="1"/>
      <c r="D323" s="23"/>
      <c r="E323" s="10"/>
      <c r="F323" s="10"/>
      <c r="G323" s="10"/>
      <c r="H323" s="24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6" x14ac:dyDescent="0.3">
      <c r="A324" s="1"/>
      <c r="B324" s="1"/>
      <c r="C324" s="1"/>
      <c r="D324" s="23"/>
      <c r="E324" s="10"/>
      <c r="F324" s="10"/>
      <c r="G324" s="10"/>
      <c r="H324" s="24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6" x14ac:dyDescent="0.3">
      <c r="A325" s="1"/>
      <c r="B325" s="1"/>
      <c r="C325" s="1"/>
      <c r="D325" s="23"/>
      <c r="E325" s="10"/>
      <c r="F325" s="10"/>
      <c r="G325" s="10"/>
      <c r="H325" s="24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6" x14ac:dyDescent="0.3">
      <c r="A326" s="1"/>
      <c r="B326" s="1"/>
      <c r="C326" s="1"/>
      <c r="D326" s="23"/>
      <c r="E326" s="10"/>
      <c r="F326" s="10"/>
      <c r="G326" s="10"/>
      <c r="H326" s="24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6" x14ac:dyDescent="0.3">
      <c r="A327" s="1"/>
      <c r="B327" s="1"/>
      <c r="C327" s="1"/>
      <c r="D327" s="23"/>
      <c r="E327" s="10"/>
      <c r="F327" s="10"/>
      <c r="G327" s="10"/>
      <c r="H327" s="24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6" x14ac:dyDescent="0.3">
      <c r="A328" s="1"/>
      <c r="B328" s="1"/>
      <c r="C328" s="1"/>
      <c r="D328" s="23"/>
      <c r="E328" s="10"/>
      <c r="F328" s="10"/>
      <c r="G328" s="10"/>
      <c r="H328" s="24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6" x14ac:dyDescent="0.3">
      <c r="A329" s="1"/>
      <c r="B329" s="1"/>
      <c r="C329" s="1"/>
      <c r="D329" s="23"/>
      <c r="E329" s="10"/>
      <c r="F329" s="10"/>
      <c r="G329" s="10"/>
      <c r="H329" s="24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6" x14ac:dyDescent="0.3">
      <c r="A330" s="1"/>
      <c r="B330" s="1"/>
      <c r="C330" s="1"/>
      <c r="D330" s="23"/>
      <c r="E330" s="10"/>
      <c r="F330" s="10"/>
      <c r="G330" s="10"/>
      <c r="H330" s="24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6" x14ac:dyDescent="0.3">
      <c r="A331" s="1"/>
      <c r="B331" s="1"/>
      <c r="C331" s="1"/>
      <c r="D331" s="23"/>
      <c r="E331" s="10"/>
      <c r="F331" s="10"/>
      <c r="G331" s="10"/>
      <c r="H331" s="24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6" x14ac:dyDescent="0.3">
      <c r="A332" s="1"/>
      <c r="B332" s="1"/>
      <c r="C332" s="1"/>
      <c r="D332" s="23"/>
      <c r="E332" s="10"/>
      <c r="F332" s="10"/>
      <c r="G332" s="10"/>
      <c r="H332" s="24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6" x14ac:dyDescent="0.3">
      <c r="A333" s="1"/>
      <c r="B333" s="1"/>
      <c r="C333" s="1"/>
      <c r="D333" s="23"/>
      <c r="E333" s="10"/>
      <c r="F333" s="10"/>
      <c r="G333" s="10"/>
      <c r="H333" s="24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6" x14ac:dyDescent="0.3">
      <c r="A334" s="1"/>
      <c r="B334" s="1"/>
      <c r="C334" s="1"/>
      <c r="D334" s="23"/>
      <c r="E334" s="10"/>
      <c r="F334" s="10"/>
      <c r="G334" s="10"/>
      <c r="H334" s="24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6" x14ac:dyDescent="0.3">
      <c r="A335" s="1"/>
      <c r="B335" s="1"/>
      <c r="C335" s="1"/>
      <c r="D335" s="23"/>
      <c r="E335" s="10"/>
      <c r="F335" s="10"/>
      <c r="G335" s="10"/>
      <c r="H335" s="24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6" x14ac:dyDescent="0.3">
      <c r="A336" s="1"/>
      <c r="B336" s="1"/>
      <c r="C336" s="1"/>
      <c r="D336" s="23"/>
      <c r="E336" s="10"/>
      <c r="F336" s="10"/>
      <c r="G336" s="10"/>
      <c r="H336" s="24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6" x14ac:dyDescent="0.3">
      <c r="A337" s="1"/>
      <c r="B337" s="1"/>
      <c r="C337" s="1"/>
      <c r="D337" s="23"/>
      <c r="E337" s="10"/>
      <c r="F337" s="10"/>
      <c r="G337" s="10"/>
      <c r="H337" s="24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6" x14ac:dyDescent="0.3">
      <c r="A338" s="1"/>
      <c r="B338" s="1"/>
      <c r="C338" s="1"/>
      <c r="D338" s="23"/>
      <c r="E338" s="10"/>
      <c r="F338" s="10"/>
      <c r="G338" s="10"/>
      <c r="H338" s="24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6" x14ac:dyDescent="0.3">
      <c r="A339" s="1"/>
      <c r="B339" s="1"/>
      <c r="C339" s="1"/>
      <c r="D339" s="23"/>
      <c r="E339" s="10"/>
      <c r="F339" s="10"/>
      <c r="G339" s="10"/>
      <c r="H339" s="24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6" x14ac:dyDescent="0.3">
      <c r="A340" s="1"/>
      <c r="B340" s="1"/>
      <c r="C340" s="1"/>
      <c r="D340" s="23"/>
      <c r="E340" s="10"/>
      <c r="F340" s="10"/>
      <c r="G340" s="10"/>
      <c r="H340" s="24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6" x14ac:dyDescent="0.3">
      <c r="A341" s="1"/>
      <c r="B341" s="1"/>
      <c r="C341" s="1"/>
      <c r="D341" s="23"/>
      <c r="E341" s="10"/>
      <c r="F341" s="10"/>
      <c r="G341" s="10"/>
      <c r="H341" s="24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6" x14ac:dyDescent="0.3">
      <c r="A342" s="1"/>
      <c r="B342" s="1"/>
      <c r="C342" s="1"/>
      <c r="D342" s="23"/>
      <c r="E342" s="10"/>
      <c r="F342" s="10"/>
      <c r="G342" s="10"/>
      <c r="H342" s="24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6" x14ac:dyDescent="0.3">
      <c r="A343" s="1"/>
      <c r="B343" s="1"/>
      <c r="C343" s="1"/>
      <c r="D343" s="23"/>
      <c r="E343" s="10"/>
      <c r="F343" s="10"/>
      <c r="G343" s="10"/>
      <c r="H343" s="24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6" x14ac:dyDescent="0.3">
      <c r="A344" s="1"/>
      <c r="B344" s="1"/>
      <c r="C344" s="1"/>
      <c r="D344" s="23"/>
      <c r="E344" s="10"/>
      <c r="F344" s="10"/>
      <c r="G344" s="10"/>
      <c r="H344" s="24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6" x14ac:dyDescent="0.3">
      <c r="A345" s="1"/>
      <c r="B345" s="1"/>
      <c r="C345" s="1"/>
      <c r="D345" s="23"/>
      <c r="E345" s="10"/>
      <c r="F345" s="10"/>
      <c r="G345" s="10"/>
      <c r="H345" s="24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6" x14ac:dyDescent="0.3">
      <c r="A346" s="1"/>
      <c r="B346" s="1"/>
      <c r="C346" s="1"/>
      <c r="D346" s="23"/>
      <c r="E346" s="10"/>
      <c r="F346" s="10"/>
      <c r="G346" s="10"/>
      <c r="H346" s="24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6" x14ac:dyDescent="0.3">
      <c r="A347" s="1"/>
      <c r="B347" s="1"/>
      <c r="C347" s="1"/>
      <c r="D347" s="23"/>
      <c r="E347" s="10"/>
      <c r="F347" s="10"/>
      <c r="G347" s="10"/>
      <c r="H347" s="24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6" x14ac:dyDescent="0.3">
      <c r="A348" s="1"/>
      <c r="B348" s="1"/>
      <c r="C348" s="1"/>
      <c r="D348" s="23"/>
      <c r="E348" s="10"/>
      <c r="F348" s="10"/>
      <c r="G348" s="10"/>
      <c r="H348" s="24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6" x14ac:dyDescent="0.3">
      <c r="A349" s="1"/>
      <c r="B349" s="1"/>
      <c r="C349" s="1"/>
      <c r="D349" s="23"/>
      <c r="E349" s="10"/>
      <c r="F349" s="10"/>
      <c r="G349" s="10"/>
      <c r="H349" s="24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6" x14ac:dyDescent="0.3">
      <c r="A350" s="1"/>
      <c r="B350" s="1"/>
      <c r="C350" s="1"/>
      <c r="D350" s="23"/>
      <c r="E350" s="10"/>
      <c r="F350" s="10"/>
      <c r="G350" s="10"/>
      <c r="H350" s="24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6" x14ac:dyDescent="0.3">
      <c r="A351" s="1"/>
      <c r="B351" s="1"/>
      <c r="C351" s="1"/>
      <c r="D351" s="23"/>
      <c r="E351" s="10"/>
      <c r="F351" s="10"/>
      <c r="G351" s="10"/>
      <c r="H351" s="24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6" x14ac:dyDescent="0.3">
      <c r="A352" s="1"/>
      <c r="B352" s="1"/>
      <c r="C352" s="1"/>
      <c r="D352" s="23"/>
      <c r="E352" s="10"/>
      <c r="F352" s="10"/>
      <c r="G352" s="10"/>
      <c r="H352" s="24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6" x14ac:dyDescent="0.3">
      <c r="A353" s="1"/>
      <c r="B353" s="1"/>
      <c r="C353" s="1"/>
      <c r="D353" s="23"/>
      <c r="E353" s="10"/>
      <c r="F353" s="10"/>
      <c r="G353" s="10"/>
      <c r="H353" s="24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6" x14ac:dyDescent="0.3">
      <c r="A354" s="1"/>
      <c r="B354" s="1"/>
      <c r="C354" s="1"/>
      <c r="D354" s="23"/>
      <c r="E354" s="10"/>
      <c r="F354" s="10"/>
      <c r="G354" s="10"/>
      <c r="H354" s="24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6" x14ac:dyDescent="0.3">
      <c r="A355" s="1"/>
      <c r="B355" s="1"/>
      <c r="C355" s="1"/>
      <c r="D355" s="23"/>
      <c r="E355" s="10"/>
      <c r="F355" s="10"/>
      <c r="G355" s="10"/>
      <c r="H355" s="24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6" x14ac:dyDescent="0.3">
      <c r="A356" s="1"/>
      <c r="B356" s="1"/>
      <c r="C356" s="1"/>
      <c r="D356" s="23"/>
      <c r="E356" s="10"/>
      <c r="F356" s="10"/>
      <c r="G356" s="10"/>
      <c r="H356" s="24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6" x14ac:dyDescent="0.3">
      <c r="A357" s="1"/>
      <c r="B357" s="1"/>
      <c r="C357" s="1"/>
      <c r="D357" s="23"/>
      <c r="E357" s="10"/>
      <c r="F357" s="10"/>
      <c r="G357" s="10"/>
      <c r="H357" s="24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6" x14ac:dyDescent="0.3">
      <c r="A358" s="1"/>
      <c r="B358" s="1"/>
      <c r="C358" s="1"/>
      <c r="D358" s="23"/>
      <c r="E358" s="10"/>
      <c r="F358" s="10"/>
      <c r="G358" s="10"/>
      <c r="H358" s="24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6" x14ac:dyDescent="0.3">
      <c r="A359" s="1"/>
      <c r="B359" s="1"/>
      <c r="C359" s="1"/>
      <c r="D359" s="23"/>
      <c r="E359" s="10"/>
      <c r="F359" s="10"/>
      <c r="G359" s="10"/>
      <c r="H359" s="24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6" x14ac:dyDescent="0.3">
      <c r="A360" s="1"/>
      <c r="B360" s="1"/>
      <c r="C360" s="1"/>
      <c r="D360" s="23"/>
      <c r="E360" s="10"/>
      <c r="F360" s="10"/>
      <c r="G360" s="10"/>
      <c r="H360" s="24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6" x14ac:dyDescent="0.3">
      <c r="A361" s="1"/>
      <c r="B361" s="1"/>
      <c r="C361" s="1"/>
      <c r="D361" s="23"/>
      <c r="E361" s="10"/>
      <c r="F361" s="10"/>
      <c r="G361" s="10"/>
      <c r="H361" s="24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6" x14ac:dyDescent="0.3">
      <c r="A362" s="1"/>
      <c r="B362" s="1"/>
      <c r="C362" s="1"/>
      <c r="D362" s="23"/>
      <c r="E362" s="10"/>
      <c r="F362" s="10"/>
      <c r="G362" s="10"/>
      <c r="H362" s="24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"/>
      <c r="D363" s="23"/>
      <c r="E363" s="10"/>
      <c r="F363" s="10"/>
      <c r="G363" s="10"/>
      <c r="H363" s="24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"/>
      <c r="D364" s="23"/>
      <c r="E364" s="10"/>
      <c r="F364" s="10"/>
      <c r="G364" s="10"/>
      <c r="H364" s="24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"/>
      <c r="D365" s="23"/>
      <c r="E365" s="10"/>
      <c r="F365" s="10"/>
      <c r="G365" s="10"/>
      <c r="H365" s="24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"/>
      <c r="D366" s="23"/>
      <c r="E366" s="10"/>
      <c r="F366" s="10"/>
      <c r="G366" s="10"/>
      <c r="H366" s="24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"/>
      <c r="D367" s="23"/>
      <c r="E367" s="10"/>
      <c r="F367" s="10"/>
      <c r="G367" s="10"/>
      <c r="H367" s="24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"/>
      <c r="D368" s="23"/>
      <c r="E368" s="10"/>
      <c r="F368" s="10"/>
      <c r="G368" s="10"/>
      <c r="H368" s="24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"/>
      <c r="D369" s="23"/>
      <c r="E369" s="10"/>
      <c r="F369" s="10"/>
      <c r="G369" s="10"/>
      <c r="H369" s="24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"/>
      <c r="D370" s="23"/>
      <c r="E370" s="10"/>
      <c r="F370" s="10"/>
      <c r="G370" s="10"/>
      <c r="H370" s="24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"/>
      <c r="D371" s="23"/>
      <c r="E371" s="10"/>
      <c r="F371" s="10"/>
      <c r="G371" s="10"/>
      <c r="H371" s="24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"/>
      <c r="D372" s="23"/>
      <c r="E372" s="10"/>
      <c r="F372" s="10"/>
      <c r="G372" s="10"/>
      <c r="H372" s="24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"/>
      <c r="D373" s="23"/>
      <c r="E373" s="10"/>
      <c r="F373" s="10"/>
      <c r="G373" s="10"/>
      <c r="H373" s="24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"/>
      <c r="D374" s="23"/>
      <c r="E374" s="10"/>
      <c r="F374" s="10"/>
      <c r="G374" s="10"/>
      <c r="H374" s="24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"/>
      <c r="D375" s="23"/>
      <c r="E375" s="10"/>
      <c r="F375" s="10"/>
      <c r="G375" s="10"/>
      <c r="H375" s="24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"/>
      <c r="D376" s="23"/>
      <c r="E376" s="10"/>
      <c r="F376" s="10"/>
      <c r="G376" s="10"/>
      <c r="H376" s="24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"/>
      <c r="D377" s="23"/>
      <c r="E377" s="10"/>
      <c r="F377" s="10"/>
      <c r="G377" s="10"/>
      <c r="H377" s="24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"/>
      <c r="D378" s="23"/>
      <c r="E378" s="10"/>
      <c r="F378" s="10"/>
      <c r="G378" s="10"/>
      <c r="H378" s="24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"/>
      <c r="D379" s="23"/>
      <c r="E379" s="10"/>
      <c r="F379" s="10"/>
      <c r="G379" s="10"/>
      <c r="H379" s="24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"/>
      <c r="D380" s="23"/>
      <c r="E380" s="10"/>
      <c r="F380" s="10"/>
      <c r="G380" s="10"/>
      <c r="H380" s="24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"/>
      <c r="D381" s="23"/>
      <c r="E381" s="10"/>
      <c r="F381" s="10"/>
      <c r="G381" s="10"/>
      <c r="H381" s="24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"/>
      <c r="D382" s="23"/>
      <c r="E382" s="10"/>
      <c r="F382" s="10"/>
      <c r="G382" s="10"/>
      <c r="H382" s="24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"/>
      <c r="D383" s="23"/>
      <c r="E383" s="10"/>
      <c r="F383" s="10"/>
      <c r="G383" s="10"/>
      <c r="H383" s="24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"/>
      <c r="D384" s="23"/>
      <c r="E384" s="10"/>
      <c r="F384" s="10"/>
      <c r="G384" s="10"/>
      <c r="H384" s="24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"/>
      <c r="D385" s="23"/>
      <c r="E385" s="10"/>
      <c r="F385" s="10"/>
      <c r="G385" s="10"/>
      <c r="H385" s="24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"/>
      <c r="D386" s="23"/>
      <c r="E386" s="10"/>
      <c r="F386" s="10"/>
      <c r="G386" s="10"/>
      <c r="H386" s="24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"/>
      <c r="D387" s="23"/>
      <c r="E387" s="10"/>
      <c r="F387" s="10"/>
      <c r="G387" s="10"/>
      <c r="H387" s="24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"/>
      <c r="D388" s="23"/>
      <c r="E388" s="10"/>
      <c r="F388" s="10"/>
      <c r="G388" s="10"/>
      <c r="H388" s="24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"/>
      <c r="D389" s="23"/>
      <c r="E389" s="10"/>
      <c r="F389" s="10"/>
      <c r="G389" s="10"/>
      <c r="H389" s="24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"/>
      <c r="D390" s="23"/>
      <c r="E390" s="10"/>
      <c r="F390" s="10"/>
      <c r="G390" s="10"/>
      <c r="H390" s="24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"/>
      <c r="D391" s="23"/>
      <c r="E391" s="10"/>
      <c r="F391" s="10"/>
      <c r="G391" s="10"/>
      <c r="H391" s="24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"/>
      <c r="D392" s="23"/>
      <c r="E392" s="10"/>
      <c r="F392" s="10"/>
      <c r="G392" s="10"/>
      <c r="H392" s="24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"/>
      <c r="D393" s="23"/>
      <c r="E393" s="10"/>
      <c r="F393" s="10"/>
      <c r="G393" s="10"/>
      <c r="H393" s="24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"/>
      <c r="D394" s="23"/>
      <c r="E394" s="10"/>
      <c r="F394" s="10"/>
      <c r="G394" s="10"/>
      <c r="H394" s="24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"/>
      <c r="D395" s="23"/>
      <c r="E395" s="10"/>
      <c r="F395" s="10"/>
      <c r="G395" s="10"/>
      <c r="H395" s="24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"/>
      <c r="D396" s="23"/>
      <c r="E396" s="10"/>
      <c r="F396" s="10"/>
      <c r="G396" s="10"/>
      <c r="H396" s="24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"/>
      <c r="D397" s="23"/>
      <c r="E397" s="10"/>
      <c r="F397" s="10"/>
      <c r="G397" s="10"/>
      <c r="H397" s="24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"/>
      <c r="D398" s="23"/>
      <c r="E398" s="10"/>
      <c r="F398" s="10"/>
      <c r="G398" s="10"/>
      <c r="H398" s="24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"/>
      <c r="D399" s="23"/>
      <c r="E399" s="10"/>
      <c r="F399" s="10"/>
      <c r="G399" s="10"/>
      <c r="H399" s="24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"/>
      <c r="D400" s="23"/>
      <c r="E400" s="10"/>
      <c r="F400" s="10"/>
      <c r="G400" s="10"/>
      <c r="H400" s="24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"/>
      <c r="D401" s="23"/>
      <c r="E401" s="10"/>
      <c r="F401" s="10"/>
      <c r="G401" s="10"/>
      <c r="H401" s="24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"/>
      <c r="D402" s="23"/>
      <c r="E402" s="10"/>
      <c r="F402" s="10"/>
      <c r="G402" s="10"/>
      <c r="H402" s="24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"/>
      <c r="D403" s="23"/>
      <c r="E403" s="10"/>
      <c r="F403" s="10"/>
      <c r="G403" s="10"/>
      <c r="H403" s="24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"/>
      <c r="D404" s="23"/>
      <c r="E404" s="10"/>
      <c r="F404" s="10"/>
      <c r="G404" s="10"/>
      <c r="H404" s="24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"/>
      <c r="D405" s="23"/>
      <c r="E405" s="10"/>
      <c r="F405" s="10"/>
      <c r="G405" s="10"/>
      <c r="H405" s="24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"/>
      <c r="D406" s="23"/>
      <c r="E406" s="10"/>
      <c r="F406" s="10"/>
      <c r="G406" s="10"/>
      <c r="H406" s="24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"/>
      <c r="D407" s="23"/>
      <c r="E407" s="10"/>
      <c r="F407" s="10"/>
      <c r="G407" s="10"/>
      <c r="H407" s="24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"/>
      <c r="D408" s="23"/>
      <c r="E408" s="10"/>
      <c r="F408" s="10"/>
      <c r="G408" s="10"/>
      <c r="H408" s="24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"/>
      <c r="D409" s="23"/>
      <c r="E409" s="10"/>
      <c r="F409" s="10"/>
      <c r="G409" s="10"/>
      <c r="H409" s="24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"/>
      <c r="D410" s="23"/>
      <c r="E410" s="10"/>
      <c r="F410" s="10"/>
      <c r="G410" s="10"/>
      <c r="H410" s="24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"/>
      <c r="D411" s="23"/>
      <c r="E411" s="10"/>
      <c r="F411" s="10"/>
      <c r="G411" s="10"/>
      <c r="H411" s="24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"/>
      <c r="D412" s="23"/>
      <c r="E412" s="10"/>
      <c r="F412" s="10"/>
      <c r="G412" s="10"/>
      <c r="H412" s="24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"/>
      <c r="D413" s="23"/>
      <c r="E413" s="10"/>
      <c r="F413" s="10"/>
      <c r="G413" s="10"/>
      <c r="H413" s="24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"/>
      <c r="D414" s="23"/>
      <c r="E414" s="10"/>
      <c r="F414" s="10"/>
      <c r="G414" s="10"/>
      <c r="H414" s="24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"/>
      <c r="D415" s="23"/>
      <c r="E415" s="10"/>
      <c r="F415" s="10"/>
      <c r="G415" s="10"/>
      <c r="H415" s="24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"/>
      <c r="D416" s="23"/>
      <c r="E416" s="10"/>
      <c r="F416" s="10"/>
      <c r="G416" s="10"/>
      <c r="H416" s="24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"/>
      <c r="D417" s="23"/>
      <c r="E417" s="10"/>
      <c r="F417" s="10"/>
      <c r="G417" s="10"/>
      <c r="H417" s="24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"/>
      <c r="D418" s="23"/>
      <c r="E418" s="10"/>
      <c r="F418" s="10"/>
      <c r="G418" s="10"/>
      <c r="H418" s="24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"/>
      <c r="D419" s="23"/>
      <c r="E419" s="10"/>
      <c r="F419" s="10"/>
      <c r="G419" s="10"/>
      <c r="H419" s="24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"/>
      <c r="D420" s="23"/>
      <c r="E420" s="10"/>
      <c r="F420" s="10"/>
      <c r="G420" s="10"/>
      <c r="H420" s="24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"/>
      <c r="D421" s="23"/>
      <c r="E421" s="10"/>
      <c r="F421" s="10"/>
      <c r="G421" s="10"/>
      <c r="H421" s="24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"/>
      <c r="D422" s="23"/>
      <c r="E422" s="10"/>
      <c r="F422" s="10"/>
      <c r="G422" s="10"/>
      <c r="H422" s="24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"/>
      <c r="D423" s="23"/>
      <c r="E423" s="10"/>
      <c r="F423" s="10"/>
      <c r="G423" s="10"/>
      <c r="H423" s="24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"/>
      <c r="D424" s="23"/>
      <c r="E424" s="10"/>
      <c r="F424" s="10"/>
      <c r="G424" s="10"/>
      <c r="H424" s="24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"/>
      <c r="D425" s="23"/>
      <c r="E425" s="10"/>
      <c r="F425" s="10"/>
      <c r="G425" s="10"/>
      <c r="H425" s="24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"/>
      <c r="D426" s="23"/>
      <c r="E426" s="10"/>
      <c r="F426" s="10"/>
      <c r="G426" s="10"/>
      <c r="H426" s="24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"/>
      <c r="D427" s="23"/>
      <c r="E427" s="10"/>
      <c r="F427" s="10"/>
      <c r="G427" s="10"/>
      <c r="H427" s="24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"/>
      <c r="D428" s="23"/>
      <c r="E428" s="10"/>
      <c r="F428" s="10"/>
      <c r="G428" s="10"/>
      <c r="H428" s="24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"/>
      <c r="D429" s="23"/>
      <c r="E429" s="10"/>
      <c r="F429" s="10"/>
      <c r="G429" s="10"/>
      <c r="H429" s="24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"/>
      <c r="D430" s="23"/>
      <c r="E430" s="10"/>
      <c r="F430" s="10"/>
      <c r="G430" s="10"/>
      <c r="H430" s="24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"/>
      <c r="D431" s="23"/>
      <c r="E431" s="10"/>
      <c r="F431" s="10"/>
      <c r="G431" s="10"/>
      <c r="H431" s="24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"/>
      <c r="D432" s="23"/>
      <c r="E432" s="10"/>
      <c r="F432" s="10"/>
      <c r="G432" s="10"/>
      <c r="H432" s="24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"/>
      <c r="D433" s="23"/>
      <c r="E433" s="10"/>
      <c r="F433" s="10"/>
      <c r="G433" s="10"/>
      <c r="H433" s="24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"/>
      <c r="D434" s="23"/>
      <c r="E434" s="10"/>
      <c r="F434" s="10"/>
      <c r="G434" s="10"/>
      <c r="H434" s="24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"/>
      <c r="D435" s="23"/>
      <c r="E435" s="10"/>
      <c r="F435" s="10"/>
      <c r="G435" s="10"/>
      <c r="H435" s="24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"/>
      <c r="D436" s="23"/>
      <c r="E436" s="10"/>
      <c r="F436" s="10"/>
      <c r="G436" s="10"/>
      <c r="H436" s="24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"/>
      <c r="D437" s="23"/>
      <c r="E437" s="10"/>
      <c r="F437" s="10"/>
      <c r="G437" s="10"/>
      <c r="H437" s="24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"/>
      <c r="D438" s="23"/>
      <c r="E438" s="10"/>
      <c r="F438" s="10"/>
      <c r="G438" s="10"/>
      <c r="H438" s="24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"/>
      <c r="D439" s="23"/>
      <c r="E439" s="10"/>
      <c r="F439" s="10"/>
      <c r="G439" s="10"/>
      <c r="H439" s="24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"/>
      <c r="D440" s="23"/>
      <c r="E440" s="10"/>
      <c r="F440" s="10"/>
      <c r="G440" s="10"/>
      <c r="H440" s="24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"/>
      <c r="D441" s="23"/>
      <c r="E441" s="10"/>
      <c r="F441" s="10"/>
      <c r="G441" s="10"/>
      <c r="H441" s="24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"/>
      <c r="D442" s="23"/>
      <c r="E442" s="10"/>
      <c r="F442" s="10"/>
      <c r="G442" s="10"/>
      <c r="H442" s="24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"/>
      <c r="D443" s="23"/>
      <c r="E443" s="10"/>
      <c r="F443" s="10"/>
      <c r="G443" s="10"/>
      <c r="H443" s="24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"/>
      <c r="D444" s="23"/>
      <c r="E444" s="10"/>
      <c r="F444" s="10"/>
      <c r="G444" s="10"/>
      <c r="H444" s="24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"/>
      <c r="D445" s="23"/>
      <c r="E445" s="10"/>
      <c r="F445" s="10"/>
      <c r="G445" s="10"/>
      <c r="H445" s="24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"/>
      <c r="D446" s="23"/>
      <c r="E446" s="10"/>
      <c r="F446" s="10"/>
      <c r="G446" s="10"/>
      <c r="H446" s="24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"/>
      <c r="D447" s="23"/>
      <c r="E447" s="10"/>
      <c r="F447" s="10"/>
      <c r="G447" s="10"/>
      <c r="H447" s="24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"/>
      <c r="D448" s="23"/>
      <c r="E448" s="10"/>
      <c r="F448" s="10"/>
      <c r="G448" s="10"/>
      <c r="H448" s="24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"/>
      <c r="D449" s="23"/>
      <c r="E449" s="10"/>
      <c r="F449" s="10"/>
      <c r="G449" s="10"/>
      <c r="H449" s="24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"/>
      <c r="D450" s="23"/>
      <c r="E450" s="10"/>
      <c r="F450" s="10"/>
      <c r="G450" s="10"/>
      <c r="H450" s="24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"/>
      <c r="D451" s="23"/>
      <c r="E451" s="10"/>
      <c r="F451" s="10"/>
      <c r="G451" s="10"/>
      <c r="H451" s="24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"/>
      <c r="D452" s="23"/>
      <c r="E452" s="10"/>
      <c r="F452" s="10"/>
      <c r="G452" s="10"/>
      <c r="H452" s="24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"/>
      <c r="D453" s="23"/>
      <c r="E453" s="10"/>
      <c r="F453" s="10"/>
      <c r="G453" s="10"/>
      <c r="H453" s="24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"/>
      <c r="D454" s="23"/>
      <c r="E454" s="10"/>
      <c r="F454" s="10"/>
      <c r="G454" s="10"/>
      <c r="H454" s="24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"/>
      <c r="D455" s="23"/>
      <c r="E455" s="10"/>
      <c r="F455" s="10"/>
      <c r="G455" s="10"/>
      <c r="H455" s="24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"/>
      <c r="D456" s="23"/>
      <c r="E456" s="10"/>
      <c r="F456" s="10"/>
      <c r="G456" s="10"/>
      <c r="H456" s="24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"/>
      <c r="D457" s="23"/>
      <c r="E457" s="10"/>
      <c r="F457" s="10"/>
      <c r="G457" s="10"/>
      <c r="H457" s="24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"/>
      <c r="D458" s="23"/>
      <c r="E458" s="10"/>
      <c r="F458" s="10"/>
      <c r="G458" s="10"/>
      <c r="H458" s="24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"/>
      <c r="D459" s="23"/>
      <c r="E459" s="10"/>
      <c r="F459" s="10"/>
      <c r="G459" s="10"/>
      <c r="H459" s="24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"/>
      <c r="D460" s="23"/>
      <c r="E460" s="10"/>
      <c r="F460" s="10"/>
      <c r="G460" s="10"/>
      <c r="H460" s="24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"/>
      <c r="D461" s="23"/>
      <c r="E461" s="10"/>
      <c r="F461" s="10"/>
      <c r="G461" s="10"/>
      <c r="H461" s="24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"/>
      <c r="D462" s="23"/>
      <c r="E462" s="10"/>
      <c r="F462" s="10"/>
      <c r="G462" s="10"/>
      <c r="H462" s="24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"/>
      <c r="D463" s="23"/>
      <c r="E463" s="10"/>
      <c r="F463" s="10"/>
      <c r="G463" s="10"/>
      <c r="H463" s="24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"/>
      <c r="D464" s="23"/>
      <c r="E464" s="10"/>
      <c r="F464" s="10"/>
      <c r="G464" s="10"/>
      <c r="H464" s="24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"/>
      <c r="D465" s="23"/>
      <c r="E465" s="10"/>
      <c r="F465" s="10"/>
      <c r="G465" s="10"/>
      <c r="H465" s="24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"/>
      <c r="D466" s="23"/>
      <c r="E466" s="10"/>
      <c r="F466" s="10"/>
      <c r="G466" s="10"/>
      <c r="H466" s="24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"/>
      <c r="D467" s="23"/>
      <c r="E467" s="10"/>
      <c r="F467" s="10"/>
      <c r="G467" s="10"/>
      <c r="H467" s="24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"/>
      <c r="D468" s="23"/>
      <c r="E468" s="10"/>
      <c r="F468" s="10"/>
      <c r="G468" s="10"/>
      <c r="H468" s="24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"/>
      <c r="D469" s="23"/>
      <c r="E469" s="10"/>
      <c r="F469" s="10"/>
      <c r="G469" s="10"/>
      <c r="H469" s="24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"/>
      <c r="D470" s="23"/>
      <c r="E470" s="10"/>
      <c r="F470" s="10"/>
      <c r="G470" s="10"/>
      <c r="H470" s="24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"/>
      <c r="D471" s="23"/>
      <c r="E471" s="10"/>
      <c r="F471" s="10"/>
      <c r="G471" s="10"/>
      <c r="H471" s="24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"/>
      <c r="D472" s="23"/>
      <c r="E472" s="10"/>
      <c r="F472" s="10"/>
      <c r="G472" s="10"/>
      <c r="H472" s="24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"/>
      <c r="D473" s="23"/>
      <c r="E473" s="10"/>
      <c r="F473" s="10"/>
      <c r="G473" s="10"/>
      <c r="H473" s="24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"/>
      <c r="D474" s="23"/>
      <c r="E474" s="10"/>
      <c r="F474" s="10"/>
      <c r="G474" s="10"/>
      <c r="H474" s="24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"/>
      <c r="D475" s="23"/>
      <c r="E475" s="10"/>
      <c r="F475" s="10"/>
      <c r="G475" s="10"/>
      <c r="H475" s="24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"/>
      <c r="D476" s="23"/>
      <c r="E476" s="10"/>
      <c r="F476" s="10"/>
      <c r="G476" s="10"/>
      <c r="H476" s="24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"/>
      <c r="D477" s="23"/>
      <c r="E477" s="10"/>
      <c r="F477" s="10"/>
      <c r="G477" s="10"/>
      <c r="H477" s="24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"/>
      <c r="D478" s="23"/>
      <c r="E478" s="10"/>
      <c r="F478" s="10"/>
      <c r="G478" s="10"/>
      <c r="H478" s="24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"/>
      <c r="D479" s="23"/>
      <c r="E479" s="10"/>
      <c r="F479" s="10"/>
      <c r="G479" s="10"/>
      <c r="H479" s="24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"/>
      <c r="D480" s="23"/>
      <c r="E480" s="10"/>
      <c r="F480" s="10"/>
      <c r="G480" s="10"/>
      <c r="H480" s="24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"/>
      <c r="D481" s="23"/>
      <c r="E481" s="10"/>
      <c r="F481" s="10"/>
      <c r="G481" s="10"/>
      <c r="H481" s="24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"/>
      <c r="D482" s="23"/>
      <c r="E482" s="10"/>
      <c r="F482" s="10"/>
      <c r="G482" s="10"/>
      <c r="H482" s="24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"/>
      <c r="D483" s="23"/>
      <c r="E483" s="10"/>
      <c r="F483" s="10"/>
      <c r="G483" s="10"/>
      <c r="H483" s="24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"/>
      <c r="D484" s="23"/>
      <c r="E484" s="10"/>
      <c r="F484" s="10"/>
      <c r="G484" s="10"/>
      <c r="H484" s="24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"/>
      <c r="D485" s="23"/>
      <c r="E485" s="10"/>
      <c r="F485" s="10"/>
      <c r="G485" s="10"/>
      <c r="H485" s="24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"/>
      <c r="D486" s="23"/>
      <c r="E486" s="10"/>
      <c r="F486" s="10"/>
      <c r="G486" s="10"/>
      <c r="H486" s="24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"/>
      <c r="D487" s="23"/>
      <c r="E487" s="10"/>
      <c r="F487" s="10"/>
      <c r="G487" s="10"/>
      <c r="H487" s="24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"/>
      <c r="D488" s="23"/>
      <c r="E488" s="10"/>
      <c r="F488" s="10"/>
      <c r="G488" s="10"/>
      <c r="H488" s="24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"/>
      <c r="D489" s="23"/>
      <c r="E489" s="10"/>
      <c r="F489" s="10"/>
      <c r="G489" s="10"/>
      <c r="H489" s="24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"/>
      <c r="D490" s="23"/>
      <c r="E490" s="10"/>
      <c r="F490" s="10"/>
      <c r="G490" s="10"/>
      <c r="H490" s="24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"/>
      <c r="D491" s="23"/>
      <c r="E491" s="10"/>
      <c r="F491" s="10"/>
      <c r="G491" s="10"/>
      <c r="H491" s="24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"/>
      <c r="D492" s="23"/>
      <c r="E492" s="10"/>
      <c r="F492" s="10"/>
      <c r="G492" s="10"/>
      <c r="H492" s="24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"/>
      <c r="D493" s="23"/>
      <c r="E493" s="10"/>
      <c r="F493" s="10"/>
      <c r="G493" s="10"/>
      <c r="H493" s="24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"/>
      <c r="D494" s="23"/>
      <c r="E494" s="10"/>
      <c r="F494" s="10"/>
      <c r="G494" s="10"/>
      <c r="H494" s="24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"/>
      <c r="D495" s="23"/>
      <c r="E495" s="10"/>
      <c r="F495" s="10"/>
      <c r="G495" s="10"/>
      <c r="H495" s="24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"/>
      <c r="D496" s="23"/>
      <c r="E496" s="10"/>
      <c r="F496" s="10"/>
      <c r="G496" s="10"/>
      <c r="H496" s="24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"/>
      <c r="D497" s="23"/>
      <c r="E497" s="10"/>
      <c r="F497" s="10"/>
      <c r="G497" s="10"/>
      <c r="H497" s="24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"/>
      <c r="D498" s="23"/>
      <c r="E498" s="10"/>
      <c r="F498" s="10"/>
      <c r="G498" s="10"/>
      <c r="H498" s="24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"/>
      <c r="D499" s="23"/>
      <c r="E499" s="10"/>
      <c r="F499" s="10"/>
      <c r="G499" s="10"/>
      <c r="H499" s="24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"/>
      <c r="D500" s="23"/>
      <c r="E500" s="10"/>
      <c r="F500" s="10"/>
      <c r="G500" s="10"/>
      <c r="H500" s="24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"/>
      <c r="D501" s="23"/>
      <c r="E501" s="10"/>
      <c r="F501" s="10"/>
      <c r="G501" s="10"/>
      <c r="H501" s="24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"/>
      <c r="D502" s="23"/>
      <c r="E502" s="10"/>
      <c r="F502" s="10"/>
      <c r="G502" s="10"/>
      <c r="H502" s="24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"/>
      <c r="D503" s="23"/>
      <c r="E503" s="10"/>
      <c r="F503" s="10"/>
      <c r="G503" s="10"/>
      <c r="H503" s="24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"/>
      <c r="D504" s="23"/>
      <c r="E504" s="10"/>
      <c r="F504" s="10"/>
      <c r="G504" s="10"/>
      <c r="H504" s="24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"/>
      <c r="D505" s="23"/>
      <c r="E505" s="10"/>
      <c r="F505" s="10"/>
      <c r="G505" s="10"/>
      <c r="H505" s="24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"/>
      <c r="D506" s="23"/>
      <c r="E506" s="10"/>
      <c r="F506" s="10"/>
      <c r="G506" s="10"/>
      <c r="H506" s="24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"/>
      <c r="D507" s="23"/>
      <c r="E507" s="10"/>
      <c r="F507" s="10"/>
      <c r="G507" s="10"/>
      <c r="H507" s="24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"/>
      <c r="D508" s="23"/>
      <c r="E508" s="10"/>
      <c r="F508" s="10"/>
      <c r="G508" s="10"/>
      <c r="H508" s="24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"/>
      <c r="D509" s="23"/>
      <c r="E509" s="10"/>
      <c r="F509" s="10"/>
      <c r="G509" s="10"/>
      <c r="H509" s="24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"/>
      <c r="D510" s="23"/>
      <c r="E510" s="10"/>
      <c r="F510" s="10"/>
      <c r="G510" s="10"/>
      <c r="H510" s="24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"/>
      <c r="D511" s="23"/>
      <c r="E511" s="10"/>
      <c r="F511" s="10"/>
      <c r="G511" s="10"/>
      <c r="H511" s="24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"/>
      <c r="D512" s="23"/>
      <c r="E512" s="10"/>
      <c r="F512" s="10"/>
      <c r="G512" s="10"/>
      <c r="H512" s="24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"/>
      <c r="D513" s="23"/>
      <c r="E513" s="10"/>
      <c r="F513" s="10"/>
      <c r="G513" s="10"/>
      <c r="H513" s="24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"/>
      <c r="D514" s="23"/>
      <c r="E514" s="10"/>
      <c r="F514" s="10"/>
      <c r="G514" s="10"/>
      <c r="H514" s="24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"/>
      <c r="D515" s="23"/>
      <c r="E515" s="10"/>
      <c r="F515" s="10"/>
      <c r="G515" s="10"/>
      <c r="H515" s="24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"/>
      <c r="D516" s="23"/>
      <c r="E516" s="10"/>
      <c r="F516" s="10"/>
      <c r="G516" s="10"/>
      <c r="H516" s="24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"/>
      <c r="D517" s="23"/>
      <c r="E517" s="10"/>
      <c r="F517" s="10"/>
      <c r="G517" s="10"/>
      <c r="H517" s="24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"/>
      <c r="D518" s="23"/>
      <c r="E518" s="10"/>
      <c r="F518" s="10"/>
      <c r="G518" s="10"/>
      <c r="H518" s="24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"/>
      <c r="D519" s="23"/>
      <c r="E519" s="10"/>
      <c r="F519" s="10"/>
      <c r="G519" s="10"/>
      <c r="H519" s="24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"/>
      <c r="D520" s="23"/>
      <c r="E520" s="10"/>
      <c r="F520" s="10"/>
      <c r="G520" s="10"/>
      <c r="H520" s="24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"/>
      <c r="D521" s="23"/>
      <c r="E521" s="10"/>
      <c r="F521" s="10"/>
      <c r="G521" s="10"/>
      <c r="H521" s="24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"/>
      <c r="D522" s="23"/>
      <c r="E522" s="10"/>
      <c r="F522" s="10"/>
      <c r="G522" s="10"/>
      <c r="H522" s="24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"/>
      <c r="D523" s="23"/>
      <c r="E523" s="10"/>
      <c r="F523" s="10"/>
      <c r="G523" s="10"/>
      <c r="H523" s="24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"/>
      <c r="D524" s="23"/>
      <c r="E524" s="10"/>
      <c r="F524" s="10"/>
      <c r="G524" s="10"/>
      <c r="H524" s="24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"/>
      <c r="D525" s="23"/>
      <c r="E525" s="10"/>
      <c r="F525" s="10"/>
      <c r="G525" s="10"/>
      <c r="H525" s="24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"/>
      <c r="D526" s="23"/>
      <c r="E526" s="10"/>
      <c r="F526" s="10"/>
      <c r="G526" s="10"/>
      <c r="H526" s="24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"/>
      <c r="D527" s="23"/>
      <c r="E527" s="10"/>
      <c r="F527" s="10"/>
      <c r="G527" s="10"/>
      <c r="H527" s="24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"/>
      <c r="D528" s="23"/>
      <c r="E528" s="10"/>
      <c r="F528" s="10"/>
      <c r="G528" s="10"/>
      <c r="H528" s="24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"/>
      <c r="D529" s="23"/>
      <c r="E529" s="10"/>
      <c r="F529" s="10"/>
      <c r="G529" s="10"/>
      <c r="H529" s="24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"/>
      <c r="D530" s="23"/>
      <c r="E530" s="10"/>
      <c r="F530" s="10"/>
      <c r="G530" s="10"/>
      <c r="H530" s="24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"/>
      <c r="D531" s="23"/>
      <c r="E531" s="10"/>
      <c r="F531" s="10"/>
      <c r="G531" s="10"/>
      <c r="H531" s="24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"/>
      <c r="D532" s="23"/>
      <c r="E532" s="10"/>
      <c r="F532" s="10"/>
      <c r="G532" s="10"/>
      <c r="H532" s="24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"/>
      <c r="D533" s="23"/>
      <c r="E533" s="10"/>
      <c r="F533" s="10"/>
      <c r="G533" s="10"/>
      <c r="H533" s="24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"/>
      <c r="D534" s="23"/>
      <c r="E534" s="10"/>
      <c r="F534" s="10"/>
      <c r="G534" s="10"/>
      <c r="H534" s="24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"/>
      <c r="D535" s="23"/>
      <c r="E535" s="10"/>
      <c r="F535" s="10"/>
      <c r="G535" s="10"/>
      <c r="H535" s="24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"/>
      <c r="D536" s="23"/>
      <c r="E536" s="10"/>
      <c r="F536" s="10"/>
      <c r="G536" s="10"/>
      <c r="H536" s="24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"/>
      <c r="D537" s="23"/>
      <c r="E537" s="10"/>
      <c r="F537" s="10"/>
      <c r="G537" s="10"/>
      <c r="H537" s="24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"/>
      <c r="D538" s="23"/>
      <c r="E538" s="10"/>
      <c r="F538" s="10"/>
      <c r="G538" s="10"/>
      <c r="H538" s="24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"/>
      <c r="D539" s="23"/>
      <c r="E539" s="10"/>
      <c r="F539" s="10"/>
      <c r="G539" s="10"/>
      <c r="H539" s="24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"/>
      <c r="D540" s="23"/>
      <c r="E540" s="10"/>
      <c r="F540" s="10"/>
      <c r="G540" s="10"/>
      <c r="H540" s="24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"/>
      <c r="D541" s="23"/>
      <c r="E541" s="10"/>
      <c r="F541" s="10"/>
      <c r="G541" s="10"/>
      <c r="H541" s="24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"/>
      <c r="D542" s="23"/>
      <c r="E542" s="10"/>
      <c r="F542" s="10"/>
      <c r="G542" s="10"/>
      <c r="H542" s="24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"/>
      <c r="D543" s="23"/>
      <c r="E543" s="10"/>
      <c r="F543" s="10"/>
      <c r="G543" s="10"/>
      <c r="H543" s="24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"/>
      <c r="D544" s="23"/>
      <c r="E544" s="10"/>
      <c r="F544" s="10"/>
      <c r="G544" s="10"/>
      <c r="H544" s="24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"/>
      <c r="D545" s="23"/>
      <c r="E545" s="10"/>
      <c r="F545" s="10"/>
      <c r="G545" s="10"/>
      <c r="H545" s="24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"/>
      <c r="D546" s="23"/>
      <c r="E546" s="10"/>
      <c r="F546" s="10"/>
      <c r="G546" s="10"/>
      <c r="H546" s="24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"/>
      <c r="D547" s="23"/>
      <c r="E547" s="10"/>
      <c r="F547" s="10"/>
      <c r="G547" s="10"/>
      <c r="H547" s="24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"/>
      <c r="D548" s="23"/>
      <c r="E548" s="10"/>
      <c r="F548" s="10"/>
      <c r="G548" s="10"/>
      <c r="H548" s="24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"/>
      <c r="D549" s="23"/>
      <c r="E549" s="10"/>
      <c r="F549" s="10"/>
      <c r="G549" s="10"/>
      <c r="H549" s="24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"/>
      <c r="D550" s="23"/>
      <c r="E550" s="10"/>
      <c r="F550" s="10"/>
      <c r="G550" s="10"/>
      <c r="H550" s="24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"/>
      <c r="D551" s="23"/>
      <c r="E551" s="10"/>
      <c r="F551" s="10"/>
      <c r="G551" s="10"/>
      <c r="H551" s="24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"/>
      <c r="D552" s="23"/>
      <c r="E552" s="10"/>
      <c r="F552" s="10"/>
      <c r="G552" s="10"/>
      <c r="H552" s="24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"/>
      <c r="D553" s="23"/>
      <c r="E553" s="10"/>
      <c r="F553" s="10"/>
      <c r="G553" s="10"/>
      <c r="H553" s="24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"/>
      <c r="D554" s="23"/>
      <c r="E554" s="10"/>
      <c r="F554" s="10"/>
      <c r="G554" s="10"/>
      <c r="H554" s="24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"/>
      <c r="D555" s="23"/>
      <c r="E555" s="10"/>
      <c r="F555" s="10"/>
      <c r="G555" s="10"/>
      <c r="H555" s="24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"/>
      <c r="D556" s="23"/>
      <c r="E556" s="10"/>
      <c r="F556" s="10"/>
      <c r="G556" s="10"/>
      <c r="H556" s="24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"/>
      <c r="D557" s="23"/>
      <c r="E557" s="10"/>
      <c r="F557" s="10"/>
      <c r="G557" s="10"/>
      <c r="H557" s="24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"/>
      <c r="D558" s="23"/>
      <c r="E558" s="10"/>
      <c r="F558" s="10"/>
      <c r="G558" s="10"/>
      <c r="H558" s="24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"/>
      <c r="D559" s="23"/>
      <c r="E559" s="10"/>
      <c r="F559" s="10"/>
      <c r="G559" s="10"/>
      <c r="H559" s="24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"/>
      <c r="D560" s="23"/>
      <c r="E560" s="10"/>
      <c r="F560" s="10"/>
      <c r="G560" s="10"/>
      <c r="H560" s="24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"/>
      <c r="D561" s="23"/>
      <c r="E561" s="10"/>
      <c r="F561" s="10"/>
      <c r="G561" s="10"/>
      <c r="H561" s="24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"/>
      <c r="D562" s="23"/>
      <c r="E562" s="10"/>
      <c r="F562" s="10"/>
      <c r="G562" s="10"/>
      <c r="H562" s="24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"/>
      <c r="D563" s="23"/>
      <c r="E563" s="10"/>
      <c r="F563" s="10"/>
      <c r="G563" s="10"/>
      <c r="H563" s="24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"/>
      <c r="D564" s="23"/>
      <c r="E564" s="10"/>
      <c r="F564" s="10"/>
      <c r="G564" s="10"/>
      <c r="H564" s="24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"/>
      <c r="D565" s="23"/>
      <c r="E565" s="10"/>
      <c r="F565" s="10"/>
      <c r="G565" s="10"/>
      <c r="H565" s="24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"/>
      <c r="D566" s="23"/>
      <c r="E566" s="10"/>
      <c r="F566" s="10"/>
      <c r="G566" s="10"/>
      <c r="H566" s="24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"/>
      <c r="D567" s="23"/>
      <c r="E567" s="10"/>
      <c r="F567" s="10"/>
      <c r="G567" s="10"/>
      <c r="H567" s="24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"/>
      <c r="D568" s="23"/>
      <c r="E568" s="10"/>
      <c r="F568" s="10"/>
      <c r="G568" s="10"/>
      <c r="H568" s="24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"/>
      <c r="D569" s="23"/>
      <c r="E569" s="10"/>
      <c r="F569" s="10"/>
      <c r="G569" s="10"/>
      <c r="H569" s="24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"/>
      <c r="D570" s="23"/>
      <c r="E570" s="10"/>
      <c r="F570" s="10"/>
      <c r="G570" s="10"/>
      <c r="H570" s="24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"/>
      <c r="D571" s="23"/>
      <c r="E571" s="10"/>
      <c r="F571" s="10"/>
      <c r="G571" s="10"/>
      <c r="H571" s="24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"/>
      <c r="D572" s="23"/>
      <c r="E572" s="10"/>
      <c r="F572" s="10"/>
      <c r="G572" s="10"/>
      <c r="H572" s="24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"/>
      <c r="D573" s="23"/>
      <c r="E573" s="10"/>
      <c r="F573" s="10"/>
      <c r="G573" s="10"/>
      <c r="H573" s="24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"/>
      <c r="D574" s="23"/>
      <c r="E574" s="10"/>
      <c r="F574" s="10"/>
      <c r="G574" s="10"/>
      <c r="H574" s="24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"/>
      <c r="D575" s="23"/>
      <c r="E575" s="10"/>
      <c r="F575" s="10"/>
      <c r="G575" s="10"/>
      <c r="H575" s="24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"/>
      <c r="D576" s="23"/>
      <c r="E576" s="10"/>
      <c r="F576" s="10"/>
      <c r="G576" s="10"/>
      <c r="H576" s="24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"/>
      <c r="D577" s="23"/>
      <c r="E577" s="10"/>
      <c r="F577" s="10"/>
      <c r="G577" s="10"/>
      <c r="H577" s="24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"/>
      <c r="D578" s="23"/>
      <c r="E578" s="10"/>
      <c r="F578" s="10"/>
      <c r="G578" s="10"/>
      <c r="H578" s="24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"/>
      <c r="D579" s="23"/>
      <c r="E579" s="10"/>
      <c r="F579" s="10"/>
      <c r="G579" s="10"/>
      <c r="H579" s="24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"/>
      <c r="D580" s="23"/>
      <c r="E580" s="10"/>
      <c r="F580" s="10"/>
      <c r="G580" s="10"/>
      <c r="H580" s="24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"/>
      <c r="D581" s="23"/>
      <c r="E581" s="10"/>
      <c r="F581" s="10"/>
      <c r="G581" s="10"/>
      <c r="H581" s="24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"/>
      <c r="D582" s="23"/>
      <c r="E582" s="10"/>
      <c r="F582" s="10"/>
      <c r="G582" s="10"/>
      <c r="H582" s="24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"/>
      <c r="D583" s="23"/>
      <c r="E583" s="10"/>
      <c r="F583" s="10"/>
      <c r="G583" s="10"/>
      <c r="H583" s="24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"/>
      <c r="D584" s="23"/>
      <c r="E584" s="10"/>
      <c r="F584" s="10"/>
      <c r="G584" s="10"/>
      <c r="H584" s="24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"/>
      <c r="D585" s="23"/>
      <c r="E585" s="10"/>
      <c r="F585" s="10"/>
      <c r="G585" s="10"/>
      <c r="H585" s="24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"/>
      <c r="D586" s="23"/>
      <c r="E586" s="10"/>
      <c r="F586" s="10"/>
      <c r="G586" s="10"/>
      <c r="H586" s="24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"/>
      <c r="D587" s="23"/>
      <c r="E587" s="10"/>
      <c r="F587" s="10"/>
      <c r="G587" s="10"/>
      <c r="H587" s="24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"/>
      <c r="D588" s="23"/>
      <c r="E588" s="10"/>
      <c r="F588" s="10"/>
      <c r="G588" s="10"/>
      <c r="H588" s="24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"/>
      <c r="D589" s="23"/>
      <c r="E589" s="10"/>
      <c r="F589" s="10"/>
      <c r="G589" s="10"/>
      <c r="H589" s="24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"/>
      <c r="D590" s="23"/>
      <c r="E590" s="10"/>
      <c r="F590" s="10"/>
      <c r="G590" s="10"/>
      <c r="H590" s="24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"/>
      <c r="D591" s="23"/>
      <c r="E591" s="10"/>
      <c r="F591" s="10"/>
      <c r="G591" s="10"/>
      <c r="H591" s="24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"/>
      <c r="D592" s="23"/>
      <c r="E592" s="10"/>
      <c r="F592" s="10"/>
      <c r="G592" s="10"/>
      <c r="H592" s="24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"/>
      <c r="D593" s="23"/>
      <c r="E593" s="10"/>
      <c r="F593" s="10"/>
      <c r="G593" s="10"/>
      <c r="H593" s="24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"/>
      <c r="D594" s="23"/>
      <c r="E594" s="10"/>
      <c r="F594" s="10"/>
      <c r="G594" s="10"/>
      <c r="H594" s="24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"/>
      <c r="D595" s="23"/>
      <c r="E595" s="10"/>
      <c r="F595" s="10"/>
      <c r="G595" s="10"/>
      <c r="H595" s="24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"/>
      <c r="D596" s="23"/>
      <c r="E596" s="10"/>
      <c r="F596" s="10"/>
      <c r="G596" s="10"/>
      <c r="H596" s="24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"/>
      <c r="D597" s="23"/>
      <c r="E597" s="10"/>
      <c r="F597" s="10"/>
      <c r="G597" s="10"/>
      <c r="H597" s="24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"/>
      <c r="D598" s="23"/>
      <c r="E598" s="10"/>
      <c r="F598" s="10"/>
      <c r="G598" s="10"/>
      <c r="H598" s="24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"/>
      <c r="D599" s="23"/>
      <c r="E599" s="10"/>
      <c r="F599" s="10"/>
      <c r="G599" s="10"/>
      <c r="H599" s="24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"/>
      <c r="D600" s="23"/>
      <c r="E600" s="10"/>
      <c r="F600" s="10"/>
      <c r="G600" s="10"/>
      <c r="H600" s="24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"/>
      <c r="D601" s="23"/>
      <c r="E601" s="10"/>
      <c r="F601" s="10"/>
      <c r="G601" s="10"/>
      <c r="H601" s="24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"/>
      <c r="D602" s="23"/>
      <c r="E602" s="10"/>
      <c r="F602" s="10"/>
      <c r="G602" s="10"/>
      <c r="H602" s="24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"/>
      <c r="D603" s="23"/>
      <c r="E603" s="10"/>
      <c r="F603" s="10"/>
      <c r="G603" s="10"/>
      <c r="H603" s="24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"/>
      <c r="D604" s="23"/>
      <c r="E604" s="10"/>
      <c r="F604" s="10"/>
      <c r="G604" s="10"/>
      <c r="H604" s="24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"/>
      <c r="D605" s="23"/>
      <c r="E605" s="10"/>
      <c r="F605" s="10"/>
      <c r="G605" s="10"/>
      <c r="H605" s="24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"/>
      <c r="D606" s="23"/>
      <c r="E606" s="10"/>
      <c r="F606" s="10"/>
      <c r="G606" s="10"/>
      <c r="H606" s="24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"/>
      <c r="D607" s="23"/>
      <c r="E607" s="10"/>
      <c r="F607" s="10"/>
      <c r="G607" s="10"/>
      <c r="H607" s="24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"/>
      <c r="D608" s="23"/>
      <c r="E608" s="10"/>
      <c r="F608" s="10"/>
      <c r="G608" s="10"/>
      <c r="H608" s="24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"/>
      <c r="D609" s="23"/>
      <c r="E609" s="10"/>
      <c r="F609" s="10"/>
      <c r="G609" s="10"/>
      <c r="H609" s="24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"/>
      <c r="D610" s="23"/>
      <c r="E610" s="10"/>
      <c r="F610" s="10"/>
      <c r="G610" s="10"/>
      <c r="H610" s="24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"/>
      <c r="D611" s="23"/>
      <c r="E611" s="10"/>
      <c r="F611" s="10"/>
      <c r="G611" s="10"/>
      <c r="H611" s="24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"/>
      <c r="D612" s="23"/>
      <c r="E612" s="10"/>
      <c r="F612" s="10"/>
      <c r="G612" s="10"/>
      <c r="H612" s="24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"/>
      <c r="D613" s="23"/>
      <c r="E613" s="10"/>
      <c r="F613" s="10"/>
      <c r="G613" s="10"/>
      <c r="H613" s="24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"/>
      <c r="D614" s="23"/>
      <c r="E614" s="10"/>
      <c r="F614" s="10"/>
      <c r="G614" s="10"/>
      <c r="H614" s="24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"/>
      <c r="D615" s="23"/>
      <c r="E615" s="10"/>
      <c r="F615" s="10"/>
      <c r="G615" s="10"/>
      <c r="H615" s="24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"/>
      <c r="D616" s="23"/>
      <c r="E616" s="10"/>
      <c r="F616" s="10"/>
      <c r="G616" s="10"/>
      <c r="H616" s="24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"/>
      <c r="D617" s="23"/>
      <c r="E617" s="10"/>
      <c r="F617" s="10"/>
      <c r="G617" s="10"/>
      <c r="H617" s="24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"/>
      <c r="D618" s="23"/>
      <c r="E618" s="10"/>
      <c r="F618" s="10"/>
      <c r="G618" s="10"/>
      <c r="H618" s="24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"/>
      <c r="D619" s="23"/>
      <c r="E619" s="10"/>
      <c r="F619" s="10"/>
      <c r="G619" s="10"/>
      <c r="H619" s="24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"/>
      <c r="D620" s="23"/>
      <c r="E620" s="10"/>
      <c r="F620" s="10"/>
      <c r="G620" s="10"/>
      <c r="H620" s="24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"/>
      <c r="D621" s="23"/>
      <c r="E621" s="10"/>
      <c r="F621" s="10"/>
      <c r="G621" s="10"/>
      <c r="H621" s="24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"/>
      <c r="D622" s="23"/>
      <c r="E622" s="10"/>
      <c r="F622" s="10"/>
      <c r="G622" s="10"/>
      <c r="H622" s="24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"/>
      <c r="D623" s="23"/>
      <c r="E623" s="10"/>
      <c r="F623" s="10"/>
      <c r="G623" s="10"/>
      <c r="H623" s="24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"/>
      <c r="D624" s="23"/>
      <c r="E624" s="10"/>
      <c r="F624" s="10"/>
      <c r="G624" s="10"/>
      <c r="H624" s="24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"/>
      <c r="D625" s="23"/>
      <c r="E625" s="10"/>
      <c r="F625" s="10"/>
      <c r="G625" s="10"/>
      <c r="H625" s="24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"/>
      <c r="D626" s="23"/>
      <c r="E626" s="10"/>
      <c r="F626" s="10"/>
      <c r="G626" s="10"/>
      <c r="H626" s="24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"/>
      <c r="D627" s="23"/>
      <c r="E627" s="10"/>
      <c r="F627" s="10"/>
      <c r="G627" s="10"/>
      <c r="H627" s="24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"/>
      <c r="D628" s="23"/>
      <c r="E628" s="10"/>
      <c r="F628" s="10"/>
      <c r="G628" s="10"/>
      <c r="H628" s="24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"/>
      <c r="D629" s="23"/>
      <c r="E629" s="10"/>
      <c r="F629" s="10"/>
      <c r="G629" s="10"/>
      <c r="H629" s="24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"/>
      <c r="D630" s="23"/>
      <c r="E630" s="10"/>
      <c r="F630" s="10"/>
      <c r="G630" s="10"/>
      <c r="H630" s="24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"/>
      <c r="D631" s="23"/>
      <c r="E631" s="10"/>
      <c r="F631" s="10"/>
      <c r="G631" s="10"/>
      <c r="H631" s="24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"/>
      <c r="D632" s="23"/>
      <c r="E632" s="10"/>
      <c r="F632" s="10"/>
      <c r="G632" s="10"/>
      <c r="H632" s="24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"/>
      <c r="D633" s="23"/>
      <c r="E633" s="10"/>
      <c r="F633" s="10"/>
      <c r="G633" s="10"/>
      <c r="H633" s="24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"/>
      <c r="D634" s="23"/>
      <c r="E634" s="10"/>
      <c r="F634" s="10"/>
      <c r="G634" s="10"/>
      <c r="H634" s="24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"/>
      <c r="D635" s="23"/>
      <c r="E635" s="10"/>
      <c r="F635" s="10"/>
      <c r="G635" s="10"/>
      <c r="H635" s="24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"/>
      <c r="D636" s="23"/>
      <c r="E636" s="10"/>
      <c r="F636" s="10"/>
      <c r="G636" s="10"/>
      <c r="H636" s="24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"/>
      <c r="D637" s="23"/>
      <c r="E637" s="10"/>
      <c r="F637" s="10"/>
      <c r="G637" s="10"/>
      <c r="H637" s="24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"/>
      <c r="D638" s="23"/>
      <c r="E638" s="10"/>
      <c r="F638" s="10"/>
      <c r="G638" s="10"/>
      <c r="H638" s="24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"/>
      <c r="D639" s="23"/>
      <c r="E639" s="10"/>
      <c r="F639" s="10"/>
      <c r="G639" s="10"/>
      <c r="H639" s="24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"/>
      <c r="D640" s="23"/>
      <c r="E640" s="10"/>
      <c r="F640" s="10"/>
      <c r="G640" s="10"/>
      <c r="H640" s="24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"/>
      <c r="D641" s="23"/>
      <c r="E641" s="10"/>
      <c r="F641" s="10"/>
      <c r="G641" s="10"/>
      <c r="H641" s="24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"/>
      <c r="D642" s="23"/>
      <c r="E642" s="10"/>
      <c r="F642" s="10"/>
      <c r="G642" s="10"/>
      <c r="H642" s="24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"/>
      <c r="D643" s="23"/>
      <c r="E643" s="10"/>
      <c r="F643" s="10"/>
      <c r="G643" s="10"/>
      <c r="H643" s="24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"/>
      <c r="D644" s="23"/>
      <c r="E644" s="10"/>
      <c r="F644" s="10"/>
      <c r="G644" s="10"/>
      <c r="H644" s="24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"/>
      <c r="D645" s="23"/>
      <c r="E645" s="10"/>
      <c r="F645" s="10"/>
      <c r="G645" s="10"/>
      <c r="H645" s="24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"/>
      <c r="D646" s="23"/>
      <c r="E646" s="10"/>
      <c r="F646" s="10"/>
      <c r="G646" s="10"/>
      <c r="H646" s="24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"/>
      <c r="D647" s="23"/>
      <c r="E647" s="10"/>
      <c r="F647" s="10"/>
      <c r="G647" s="10"/>
      <c r="H647" s="24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"/>
      <c r="D648" s="23"/>
      <c r="E648" s="10"/>
      <c r="F648" s="10"/>
      <c r="G648" s="10"/>
      <c r="H648" s="24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"/>
      <c r="D649" s="23"/>
      <c r="E649" s="10"/>
      <c r="F649" s="10"/>
      <c r="G649" s="10"/>
      <c r="H649" s="24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"/>
      <c r="D650" s="23"/>
      <c r="E650" s="10"/>
      <c r="F650" s="10"/>
      <c r="G650" s="10"/>
      <c r="H650" s="24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"/>
      <c r="D651" s="23"/>
      <c r="E651" s="10"/>
      <c r="F651" s="10"/>
      <c r="G651" s="10"/>
      <c r="H651" s="24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"/>
      <c r="D652" s="23"/>
      <c r="E652" s="10"/>
      <c r="F652" s="10"/>
      <c r="G652" s="10"/>
      <c r="H652" s="24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"/>
      <c r="D653" s="23"/>
      <c r="E653" s="10"/>
      <c r="F653" s="10"/>
      <c r="G653" s="10"/>
      <c r="H653" s="24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"/>
      <c r="D654" s="23"/>
      <c r="E654" s="10"/>
      <c r="F654" s="10"/>
      <c r="G654" s="10"/>
      <c r="H654" s="24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"/>
      <c r="D655" s="23"/>
      <c r="E655" s="10"/>
      <c r="F655" s="10"/>
      <c r="G655" s="10"/>
      <c r="H655" s="24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"/>
      <c r="D656" s="23"/>
      <c r="E656" s="10"/>
      <c r="F656" s="10"/>
      <c r="G656" s="10"/>
      <c r="H656" s="24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"/>
      <c r="D657" s="23"/>
      <c r="E657" s="10"/>
      <c r="F657" s="10"/>
      <c r="G657" s="10"/>
      <c r="H657" s="24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"/>
      <c r="D658" s="23"/>
      <c r="E658" s="10"/>
      <c r="F658" s="10"/>
      <c r="G658" s="10"/>
      <c r="H658" s="24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"/>
      <c r="D659" s="23"/>
      <c r="E659" s="10"/>
      <c r="F659" s="10"/>
      <c r="G659" s="10"/>
      <c r="H659" s="24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"/>
      <c r="D660" s="23"/>
      <c r="E660" s="10"/>
      <c r="F660" s="10"/>
      <c r="G660" s="10"/>
      <c r="H660" s="24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"/>
      <c r="D661" s="23"/>
      <c r="E661" s="10"/>
      <c r="F661" s="10"/>
      <c r="G661" s="10"/>
      <c r="H661" s="24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"/>
      <c r="D662" s="23"/>
      <c r="E662" s="10"/>
      <c r="F662" s="10"/>
      <c r="G662" s="10"/>
      <c r="H662" s="24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"/>
      <c r="D663" s="23"/>
      <c r="E663" s="10"/>
      <c r="F663" s="10"/>
      <c r="G663" s="10"/>
      <c r="H663" s="24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"/>
      <c r="D664" s="23"/>
      <c r="E664" s="10"/>
      <c r="F664" s="10"/>
      <c r="G664" s="10"/>
      <c r="H664" s="24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"/>
      <c r="D665" s="23"/>
      <c r="E665" s="10"/>
      <c r="F665" s="10"/>
      <c r="G665" s="10"/>
      <c r="H665" s="24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"/>
      <c r="D666" s="23"/>
      <c r="E666" s="10"/>
      <c r="F666" s="10"/>
      <c r="G666" s="10"/>
      <c r="H666" s="24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"/>
      <c r="D667" s="23"/>
      <c r="E667" s="10"/>
      <c r="F667" s="10"/>
      <c r="G667" s="10"/>
      <c r="H667" s="24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"/>
      <c r="D668" s="23"/>
      <c r="E668" s="10"/>
      <c r="F668" s="10"/>
      <c r="G668" s="10"/>
      <c r="H668" s="24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"/>
      <c r="D669" s="23"/>
      <c r="E669" s="10"/>
      <c r="F669" s="10"/>
      <c r="G669" s="10"/>
      <c r="H669" s="24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"/>
      <c r="D670" s="23"/>
      <c r="E670" s="10"/>
      <c r="F670" s="10"/>
      <c r="G670" s="10"/>
      <c r="H670" s="24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"/>
      <c r="D671" s="23"/>
      <c r="E671" s="10"/>
      <c r="F671" s="10"/>
      <c r="G671" s="10"/>
      <c r="H671" s="24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"/>
      <c r="D672" s="23"/>
      <c r="E672" s="10"/>
      <c r="F672" s="10"/>
      <c r="G672" s="10"/>
      <c r="H672" s="24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"/>
      <c r="D673" s="23"/>
      <c r="E673" s="10"/>
      <c r="F673" s="10"/>
      <c r="G673" s="10"/>
      <c r="H673" s="24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"/>
      <c r="D674" s="23"/>
      <c r="E674" s="10"/>
      <c r="F674" s="10"/>
      <c r="G674" s="10"/>
      <c r="H674" s="24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"/>
      <c r="D675" s="23"/>
      <c r="E675" s="10"/>
      <c r="F675" s="10"/>
      <c r="G675" s="10"/>
      <c r="H675" s="24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"/>
      <c r="D676" s="23"/>
      <c r="E676" s="10"/>
      <c r="F676" s="10"/>
      <c r="G676" s="10"/>
      <c r="H676" s="24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"/>
      <c r="D677" s="23"/>
      <c r="E677" s="10"/>
      <c r="F677" s="10"/>
      <c r="G677" s="10"/>
      <c r="H677" s="24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"/>
      <c r="D678" s="23"/>
      <c r="E678" s="10"/>
      <c r="F678" s="10"/>
      <c r="G678" s="10"/>
      <c r="H678" s="24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"/>
      <c r="D679" s="23"/>
      <c r="E679" s="10"/>
      <c r="F679" s="10"/>
      <c r="G679" s="10"/>
      <c r="H679" s="24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"/>
      <c r="D680" s="23"/>
      <c r="E680" s="10"/>
      <c r="F680" s="10"/>
      <c r="G680" s="10"/>
      <c r="H680" s="24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"/>
      <c r="D681" s="23"/>
      <c r="E681" s="10"/>
      <c r="F681" s="10"/>
      <c r="G681" s="10"/>
      <c r="H681" s="24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"/>
      <c r="D682" s="23"/>
      <c r="E682" s="10"/>
      <c r="F682" s="10"/>
      <c r="G682" s="10"/>
      <c r="H682" s="24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"/>
      <c r="D683" s="23"/>
      <c r="E683" s="10"/>
      <c r="F683" s="10"/>
      <c r="G683" s="10"/>
      <c r="H683" s="24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"/>
      <c r="D684" s="23"/>
      <c r="E684" s="10"/>
      <c r="F684" s="10"/>
      <c r="G684" s="10"/>
      <c r="H684" s="24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"/>
      <c r="D685" s="23"/>
      <c r="E685" s="10"/>
      <c r="F685" s="10"/>
      <c r="G685" s="10"/>
      <c r="H685" s="24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"/>
      <c r="D686" s="23"/>
      <c r="E686" s="10"/>
      <c r="F686" s="10"/>
      <c r="G686" s="10"/>
      <c r="H686" s="24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"/>
      <c r="D687" s="23"/>
      <c r="E687" s="10"/>
      <c r="F687" s="10"/>
      <c r="G687" s="10"/>
      <c r="H687" s="24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"/>
      <c r="D688" s="23"/>
      <c r="E688" s="10"/>
      <c r="F688" s="10"/>
      <c r="G688" s="10"/>
      <c r="H688" s="24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"/>
      <c r="D689" s="23"/>
      <c r="E689" s="10"/>
      <c r="F689" s="10"/>
      <c r="G689" s="10"/>
      <c r="H689" s="24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"/>
      <c r="D690" s="23"/>
      <c r="E690" s="10"/>
      <c r="F690" s="10"/>
      <c r="G690" s="10"/>
      <c r="H690" s="24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"/>
      <c r="D691" s="23"/>
      <c r="E691" s="10"/>
      <c r="F691" s="10"/>
      <c r="G691" s="10"/>
      <c r="H691" s="24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"/>
      <c r="D692" s="23"/>
      <c r="E692" s="10"/>
      <c r="F692" s="10"/>
      <c r="G692" s="10"/>
      <c r="H692" s="24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"/>
      <c r="D693" s="23"/>
      <c r="E693" s="10"/>
      <c r="F693" s="10"/>
      <c r="G693" s="10"/>
      <c r="H693" s="24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"/>
      <c r="D694" s="23"/>
      <c r="E694" s="10"/>
      <c r="F694" s="10"/>
      <c r="G694" s="10"/>
      <c r="H694" s="24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"/>
      <c r="D695" s="23"/>
      <c r="E695" s="10"/>
      <c r="F695" s="10"/>
      <c r="G695" s="10"/>
      <c r="H695" s="24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"/>
      <c r="D696" s="23"/>
      <c r="E696" s="10"/>
      <c r="F696" s="10"/>
      <c r="G696" s="10"/>
      <c r="H696" s="24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"/>
      <c r="D697" s="23"/>
      <c r="E697" s="10"/>
      <c r="F697" s="10"/>
      <c r="G697" s="10"/>
      <c r="H697" s="24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"/>
      <c r="D698" s="23"/>
      <c r="E698" s="10"/>
      <c r="F698" s="10"/>
      <c r="G698" s="10"/>
      <c r="H698" s="24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"/>
      <c r="D699" s="23"/>
      <c r="E699" s="10"/>
      <c r="F699" s="10"/>
      <c r="G699" s="10"/>
      <c r="H699" s="24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"/>
      <c r="D700" s="23"/>
      <c r="E700" s="10"/>
      <c r="F700" s="10"/>
      <c r="G700" s="10"/>
      <c r="H700" s="24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"/>
      <c r="D701" s="23"/>
      <c r="E701" s="10"/>
      <c r="F701" s="10"/>
      <c r="G701" s="10"/>
      <c r="H701" s="24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"/>
      <c r="D702" s="23"/>
      <c r="E702" s="10"/>
      <c r="F702" s="10"/>
      <c r="G702" s="10"/>
      <c r="H702" s="24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"/>
      <c r="D703" s="23"/>
      <c r="E703" s="10"/>
      <c r="F703" s="10"/>
      <c r="G703" s="10"/>
      <c r="H703" s="24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"/>
      <c r="D704" s="23"/>
      <c r="E704" s="10"/>
      <c r="F704" s="10"/>
      <c r="G704" s="10"/>
      <c r="H704" s="24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"/>
      <c r="D705" s="23"/>
      <c r="E705" s="10"/>
      <c r="F705" s="10"/>
      <c r="G705" s="10"/>
      <c r="H705" s="24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"/>
      <c r="D706" s="23"/>
      <c r="E706" s="10"/>
      <c r="F706" s="10"/>
      <c r="G706" s="10"/>
      <c r="H706" s="24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"/>
      <c r="D707" s="23"/>
      <c r="E707" s="10"/>
      <c r="F707" s="10"/>
      <c r="G707" s="10"/>
      <c r="H707" s="24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"/>
      <c r="D708" s="23"/>
      <c r="E708" s="10"/>
      <c r="F708" s="10"/>
      <c r="G708" s="10"/>
      <c r="H708" s="24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"/>
      <c r="D709" s="23"/>
      <c r="E709" s="10"/>
      <c r="F709" s="10"/>
      <c r="G709" s="10"/>
      <c r="H709" s="24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"/>
      <c r="D710" s="23"/>
      <c r="E710" s="10"/>
      <c r="F710" s="10"/>
      <c r="G710" s="10"/>
      <c r="H710" s="24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"/>
      <c r="D711" s="23"/>
      <c r="E711" s="10"/>
      <c r="F711" s="10"/>
      <c r="G711" s="10"/>
      <c r="H711" s="24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"/>
      <c r="D712" s="23"/>
      <c r="E712" s="10"/>
      <c r="F712" s="10"/>
      <c r="G712" s="10"/>
      <c r="H712" s="24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"/>
      <c r="D713" s="23"/>
      <c r="E713" s="10"/>
      <c r="F713" s="10"/>
      <c r="G713" s="10"/>
      <c r="H713" s="24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"/>
      <c r="D714" s="23"/>
      <c r="E714" s="10"/>
      <c r="F714" s="10"/>
      <c r="G714" s="10"/>
      <c r="H714" s="24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"/>
      <c r="D715" s="23"/>
      <c r="E715" s="10"/>
      <c r="F715" s="10"/>
      <c r="G715" s="10"/>
      <c r="H715" s="24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"/>
      <c r="D716" s="23"/>
      <c r="E716" s="10"/>
      <c r="F716" s="10"/>
      <c r="G716" s="10"/>
      <c r="H716" s="24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"/>
      <c r="D717" s="23"/>
      <c r="E717" s="10"/>
      <c r="F717" s="10"/>
      <c r="G717" s="10"/>
      <c r="H717" s="24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"/>
      <c r="D718" s="23"/>
      <c r="E718" s="10"/>
      <c r="F718" s="10"/>
      <c r="G718" s="10"/>
      <c r="H718" s="24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"/>
      <c r="D719" s="23"/>
      <c r="E719" s="10"/>
      <c r="F719" s="10"/>
      <c r="G719" s="10"/>
      <c r="H719" s="24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"/>
      <c r="D720" s="23"/>
      <c r="E720" s="10"/>
      <c r="F720" s="10"/>
      <c r="G720" s="10"/>
      <c r="H720" s="24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"/>
      <c r="D721" s="23"/>
      <c r="E721" s="10"/>
      <c r="F721" s="10"/>
      <c r="G721" s="10"/>
      <c r="H721" s="24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"/>
      <c r="D722" s="23"/>
      <c r="E722" s="10"/>
      <c r="F722" s="10"/>
      <c r="G722" s="10"/>
      <c r="H722" s="24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"/>
      <c r="D723" s="23"/>
      <c r="E723" s="10"/>
      <c r="F723" s="10"/>
      <c r="G723" s="10"/>
      <c r="H723" s="24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"/>
      <c r="D724" s="23"/>
      <c r="E724" s="10"/>
      <c r="F724" s="10"/>
      <c r="G724" s="10"/>
      <c r="H724" s="24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"/>
      <c r="D725" s="23"/>
      <c r="E725" s="10"/>
      <c r="F725" s="10"/>
      <c r="G725" s="10"/>
      <c r="H725" s="24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"/>
      <c r="D726" s="23"/>
      <c r="E726" s="10"/>
      <c r="F726" s="10"/>
      <c r="G726" s="10"/>
      <c r="H726" s="24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"/>
      <c r="D727" s="23"/>
      <c r="E727" s="10"/>
      <c r="F727" s="10"/>
      <c r="G727" s="10"/>
      <c r="H727" s="24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"/>
      <c r="D728" s="23"/>
      <c r="E728" s="10"/>
      <c r="F728" s="10"/>
      <c r="G728" s="10"/>
      <c r="H728" s="24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"/>
      <c r="D729" s="23"/>
      <c r="E729" s="10"/>
      <c r="F729" s="10"/>
      <c r="G729" s="10"/>
      <c r="H729" s="24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"/>
      <c r="D730" s="23"/>
      <c r="E730" s="10"/>
      <c r="F730" s="10"/>
      <c r="G730" s="10"/>
      <c r="H730" s="24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"/>
      <c r="D731" s="23"/>
      <c r="E731" s="10"/>
      <c r="F731" s="10"/>
      <c r="G731" s="10"/>
      <c r="H731" s="24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"/>
      <c r="D732" s="23"/>
      <c r="E732" s="10"/>
      <c r="F732" s="10"/>
      <c r="G732" s="10"/>
      <c r="H732" s="24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"/>
      <c r="D733" s="23"/>
      <c r="E733" s="10"/>
      <c r="F733" s="10"/>
      <c r="G733" s="10"/>
      <c r="H733" s="24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"/>
      <c r="D734" s="23"/>
      <c r="E734" s="10"/>
      <c r="F734" s="10"/>
      <c r="G734" s="10"/>
      <c r="H734" s="24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"/>
      <c r="D735" s="23"/>
      <c r="E735" s="10"/>
      <c r="F735" s="10"/>
      <c r="G735" s="10"/>
      <c r="H735" s="24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"/>
      <c r="D736" s="23"/>
      <c r="E736" s="10"/>
      <c r="F736" s="10"/>
      <c r="G736" s="10"/>
      <c r="H736" s="24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"/>
      <c r="D737" s="23"/>
      <c r="E737" s="10"/>
      <c r="F737" s="10"/>
      <c r="G737" s="10"/>
      <c r="H737" s="24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"/>
      <c r="D738" s="23"/>
      <c r="E738" s="10"/>
      <c r="F738" s="10"/>
      <c r="G738" s="10"/>
      <c r="H738" s="24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"/>
      <c r="D739" s="23"/>
      <c r="E739" s="10"/>
      <c r="F739" s="10"/>
      <c r="G739" s="10"/>
      <c r="H739" s="24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"/>
      <c r="D740" s="23"/>
      <c r="E740" s="10"/>
      <c r="F740" s="10"/>
      <c r="G740" s="10"/>
      <c r="H740" s="24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"/>
      <c r="D741" s="23"/>
      <c r="E741" s="10"/>
      <c r="F741" s="10"/>
      <c r="G741" s="10"/>
      <c r="H741" s="24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"/>
      <c r="D742" s="23"/>
      <c r="E742" s="10"/>
      <c r="F742" s="10"/>
      <c r="G742" s="10"/>
      <c r="H742" s="24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"/>
      <c r="D743" s="23"/>
      <c r="E743" s="10"/>
      <c r="F743" s="10"/>
      <c r="G743" s="10"/>
      <c r="H743" s="24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"/>
      <c r="D744" s="23"/>
      <c r="E744" s="10"/>
      <c r="F744" s="10"/>
      <c r="G744" s="10"/>
      <c r="H744" s="24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"/>
      <c r="D745" s="23"/>
      <c r="E745" s="10"/>
      <c r="F745" s="10"/>
      <c r="G745" s="10"/>
      <c r="H745" s="24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"/>
      <c r="D746" s="23"/>
      <c r="E746" s="10"/>
      <c r="F746" s="10"/>
      <c r="G746" s="10"/>
      <c r="H746" s="24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"/>
      <c r="D747" s="23"/>
      <c r="E747" s="10"/>
      <c r="F747" s="10"/>
      <c r="G747" s="10"/>
      <c r="H747" s="24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"/>
      <c r="D748" s="23"/>
      <c r="E748" s="10"/>
      <c r="F748" s="10"/>
      <c r="G748" s="10"/>
      <c r="H748" s="24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"/>
      <c r="D749" s="23"/>
      <c r="E749" s="10"/>
      <c r="F749" s="10"/>
      <c r="G749" s="10"/>
      <c r="H749" s="24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"/>
      <c r="D750" s="23"/>
      <c r="E750" s="10"/>
      <c r="F750" s="10"/>
      <c r="G750" s="10"/>
      <c r="H750" s="24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"/>
      <c r="D751" s="23"/>
      <c r="E751" s="10"/>
      <c r="F751" s="10"/>
      <c r="G751" s="10"/>
      <c r="H751" s="24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"/>
      <c r="D752" s="23"/>
      <c r="E752" s="10"/>
      <c r="F752" s="10"/>
      <c r="G752" s="10"/>
      <c r="H752" s="24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"/>
      <c r="D753" s="23"/>
      <c r="E753" s="10"/>
      <c r="F753" s="10"/>
      <c r="G753" s="10"/>
      <c r="H753" s="24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"/>
      <c r="D754" s="23"/>
      <c r="E754" s="10"/>
      <c r="F754" s="10"/>
      <c r="G754" s="10"/>
      <c r="H754" s="24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"/>
      <c r="D755" s="23"/>
      <c r="E755" s="10"/>
      <c r="F755" s="10"/>
      <c r="G755" s="10"/>
      <c r="H755" s="24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"/>
      <c r="D756" s="23"/>
      <c r="E756" s="10"/>
      <c r="F756" s="10"/>
      <c r="G756" s="10"/>
      <c r="H756" s="24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"/>
      <c r="D757" s="23"/>
      <c r="E757" s="10"/>
      <c r="F757" s="10"/>
      <c r="G757" s="10"/>
      <c r="H757" s="24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"/>
      <c r="D758" s="23"/>
      <c r="E758" s="10"/>
      <c r="F758" s="10"/>
      <c r="G758" s="10"/>
      <c r="H758" s="24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"/>
      <c r="D759" s="23"/>
      <c r="E759" s="10"/>
      <c r="F759" s="10"/>
      <c r="G759" s="10"/>
      <c r="H759" s="24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"/>
      <c r="D760" s="23"/>
      <c r="E760" s="10"/>
      <c r="F760" s="10"/>
      <c r="G760" s="10"/>
      <c r="H760" s="24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"/>
      <c r="D761" s="23"/>
      <c r="E761" s="10"/>
      <c r="F761" s="10"/>
      <c r="G761" s="10"/>
      <c r="H761" s="24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"/>
      <c r="D762" s="23"/>
      <c r="E762" s="10"/>
      <c r="F762" s="10"/>
      <c r="G762" s="10"/>
      <c r="H762" s="24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"/>
      <c r="D763" s="23"/>
      <c r="E763" s="10"/>
      <c r="F763" s="10"/>
      <c r="G763" s="10"/>
      <c r="H763" s="24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"/>
      <c r="D764" s="23"/>
      <c r="E764" s="10"/>
      <c r="F764" s="10"/>
      <c r="G764" s="10"/>
      <c r="H764" s="24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"/>
      <c r="D765" s="23"/>
      <c r="E765" s="10"/>
      <c r="F765" s="10"/>
      <c r="G765" s="10"/>
      <c r="H765" s="24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"/>
      <c r="D766" s="23"/>
      <c r="E766" s="10"/>
      <c r="F766" s="10"/>
      <c r="G766" s="10"/>
      <c r="H766" s="24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"/>
      <c r="D767" s="23"/>
      <c r="E767" s="10"/>
      <c r="F767" s="10"/>
      <c r="G767" s="10"/>
      <c r="H767" s="24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"/>
      <c r="D768" s="23"/>
      <c r="E768" s="10"/>
      <c r="F768" s="10"/>
      <c r="G768" s="10"/>
      <c r="H768" s="24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"/>
      <c r="D769" s="23"/>
      <c r="E769" s="10"/>
      <c r="F769" s="10"/>
      <c r="G769" s="10"/>
      <c r="H769" s="24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"/>
      <c r="D770" s="23"/>
      <c r="E770" s="10"/>
      <c r="F770" s="10"/>
      <c r="G770" s="10"/>
      <c r="H770" s="24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"/>
      <c r="D771" s="23"/>
      <c r="E771" s="10"/>
      <c r="F771" s="10"/>
      <c r="G771" s="10"/>
      <c r="H771" s="24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"/>
      <c r="D772" s="23"/>
      <c r="E772" s="10"/>
      <c r="F772" s="10"/>
      <c r="G772" s="10"/>
      <c r="H772" s="24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"/>
      <c r="D773" s="23"/>
      <c r="E773" s="10"/>
      <c r="F773" s="10"/>
      <c r="G773" s="10"/>
      <c r="H773" s="24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"/>
      <c r="D774" s="23"/>
      <c r="E774" s="10"/>
      <c r="F774" s="10"/>
      <c r="G774" s="10"/>
      <c r="H774" s="24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"/>
      <c r="D775" s="23"/>
      <c r="E775" s="10"/>
      <c r="F775" s="10"/>
      <c r="G775" s="10"/>
      <c r="H775" s="24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"/>
      <c r="D776" s="23"/>
      <c r="E776" s="10"/>
      <c r="F776" s="10"/>
      <c r="G776" s="10"/>
      <c r="H776" s="24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"/>
      <c r="D777" s="23"/>
      <c r="E777" s="10"/>
      <c r="F777" s="10"/>
      <c r="G777" s="10"/>
      <c r="H777" s="24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"/>
      <c r="D778" s="23"/>
      <c r="E778" s="10"/>
      <c r="F778" s="10"/>
      <c r="G778" s="10"/>
      <c r="H778" s="24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"/>
      <c r="D779" s="23"/>
      <c r="E779" s="10"/>
      <c r="F779" s="10"/>
      <c r="G779" s="10"/>
      <c r="H779" s="24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"/>
      <c r="D780" s="23"/>
      <c r="E780" s="10"/>
      <c r="F780" s="10"/>
      <c r="G780" s="10"/>
      <c r="H780" s="24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"/>
      <c r="D781" s="23"/>
      <c r="E781" s="10"/>
      <c r="F781" s="10"/>
      <c r="G781" s="10"/>
      <c r="H781" s="24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"/>
      <c r="D782" s="23"/>
      <c r="E782" s="10"/>
      <c r="F782" s="10"/>
      <c r="G782" s="10"/>
      <c r="H782" s="24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"/>
      <c r="D783" s="23"/>
      <c r="E783" s="10"/>
      <c r="F783" s="10"/>
      <c r="G783" s="10"/>
      <c r="H783" s="24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"/>
      <c r="D784" s="23"/>
      <c r="E784" s="10"/>
      <c r="F784" s="10"/>
      <c r="G784" s="10"/>
      <c r="H784" s="24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"/>
      <c r="D785" s="23"/>
      <c r="E785" s="10"/>
      <c r="F785" s="10"/>
      <c r="G785" s="10"/>
      <c r="H785" s="24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"/>
      <c r="D786" s="23"/>
      <c r="E786" s="10"/>
      <c r="F786" s="10"/>
      <c r="G786" s="10"/>
      <c r="H786" s="24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"/>
      <c r="D787" s="23"/>
      <c r="E787" s="10"/>
      <c r="F787" s="10"/>
      <c r="G787" s="10"/>
      <c r="H787" s="24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"/>
      <c r="D788" s="23"/>
      <c r="E788" s="10"/>
      <c r="F788" s="10"/>
      <c r="G788" s="10"/>
      <c r="H788" s="24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"/>
      <c r="D789" s="23"/>
      <c r="E789" s="10"/>
      <c r="F789" s="10"/>
      <c r="G789" s="10"/>
      <c r="H789" s="24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"/>
      <c r="D790" s="23"/>
      <c r="E790" s="10"/>
      <c r="F790" s="10"/>
      <c r="G790" s="10"/>
      <c r="H790" s="24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"/>
      <c r="D791" s="23"/>
      <c r="E791" s="10"/>
      <c r="F791" s="10"/>
      <c r="G791" s="10"/>
      <c r="H791" s="24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"/>
      <c r="D792" s="23"/>
      <c r="E792" s="10"/>
      <c r="F792" s="10"/>
      <c r="G792" s="10"/>
      <c r="H792" s="24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"/>
      <c r="D793" s="23"/>
      <c r="E793" s="10"/>
      <c r="F793" s="10"/>
      <c r="G793" s="10"/>
      <c r="H793" s="24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"/>
      <c r="D794" s="23"/>
      <c r="E794" s="10"/>
      <c r="F794" s="10"/>
      <c r="G794" s="10"/>
      <c r="H794" s="24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"/>
      <c r="D795" s="23"/>
      <c r="E795" s="10"/>
      <c r="F795" s="10"/>
      <c r="G795" s="10"/>
      <c r="H795" s="24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"/>
      <c r="D796" s="23"/>
      <c r="E796" s="10"/>
      <c r="F796" s="10"/>
      <c r="G796" s="10"/>
      <c r="H796" s="24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"/>
      <c r="D797" s="23"/>
      <c r="E797" s="10"/>
      <c r="F797" s="10"/>
      <c r="G797" s="10"/>
      <c r="H797" s="24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"/>
      <c r="D798" s="23"/>
      <c r="E798" s="10"/>
      <c r="F798" s="10"/>
      <c r="G798" s="10"/>
      <c r="H798" s="24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"/>
      <c r="D799" s="23"/>
      <c r="E799" s="10"/>
      <c r="F799" s="10"/>
      <c r="G799" s="10"/>
      <c r="H799" s="24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"/>
      <c r="D800" s="23"/>
      <c r="E800" s="10"/>
      <c r="F800" s="10"/>
      <c r="G800" s="10"/>
      <c r="H800" s="24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"/>
      <c r="D801" s="23"/>
      <c r="E801" s="10"/>
      <c r="F801" s="10"/>
      <c r="G801" s="10"/>
      <c r="H801" s="24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"/>
      <c r="D802" s="23"/>
      <c r="E802" s="10"/>
      <c r="F802" s="10"/>
      <c r="G802" s="10"/>
      <c r="H802" s="24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"/>
      <c r="D803" s="23"/>
      <c r="E803" s="10"/>
      <c r="F803" s="10"/>
      <c r="G803" s="10"/>
      <c r="H803" s="24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"/>
      <c r="D804" s="23"/>
      <c r="E804" s="10"/>
      <c r="F804" s="10"/>
      <c r="G804" s="10"/>
      <c r="H804" s="24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"/>
      <c r="D805" s="23"/>
      <c r="E805" s="10"/>
      <c r="F805" s="10"/>
      <c r="G805" s="10"/>
      <c r="H805" s="24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"/>
      <c r="D806" s="23"/>
      <c r="E806" s="10"/>
      <c r="F806" s="10"/>
      <c r="G806" s="10"/>
      <c r="H806" s="24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"/>
      <c r="D807" s="23"/>
      <c r="E807" s="10"/>
      <c r="F807" s="10"/>
      <c r="G807" s="10"/>
      <c r="H807" s="24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"/>
      <c r="D808" s="23"/>
      <c r="E808" s="10"/>
      <c r="F808" s="10"/>
      <c r="G808" s="10"/>
      <c r="H808" s="24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"/>
      <c r="D809" s="23"/>
      <c r="E809" s="10"/>
      <c r="F809" s="10"/>
      <c r="G809" s="10"/>
      <c r="H809" s="24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"/>
      <c r="D810" s="23"/>
      <c r="E810" s="10"/>
      <c r="F810" s="10"/>
      <c r="G810" s="10"/>
      <c r="H810" s="24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"/>
      <c r="D811" s="23"/>
      <c r="E811" s="10"/>
      <c r="F811" s="10"/>
      <c r="G811" s="10"/>
      <c r="H811" s="24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"/>
      <c r="D812" s="23"/>
      <c r="E812" s="10"/>
      <c r="F812" s="10"/>
      <c r="G812" s="10"/>
      <c r="H812" s="24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"/>
      <c r="D813" s="23"/>
      <c r="E813" s="10"/>
      <c r="F813" s="10"/>
      <c r="G813" s="10"/>
      <c r="H813" s="24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"/>
      <c r="D814" s="23"/>
      <c r="E814" s="10"/>
      <c r="F814" s="10"/>
      <c r="G814" s="10"/>
      <c r="H814" s="24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"/>
      <c r="D815" s="23"/>
      <c r="E815" s="10"/>
      <c r="F815" s="10"/>
      <c r="G815" s="10"/>
      <c r="H815" s="24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"/>
      <c r="D816" s="23"/>
      <c r="E816" s="10"/>
      <c r="F816" s="10"/>
      <c r="G816" s="10"/>
      <c r="H816" s="24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"/>
      <c r="D817" s="23"/>
      <c r="E817" s="10"/>
      <c r="F817" s="10"/>
      <c r="G817" s="10"/>
      <c r="H817" s="24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"/>
      <c r="D818" s="23"/>
      <c r="E818" s="10"/>
      <c r="F818" s="10"/>
      <c r="G818" s="10"/>
      <c r="H818" s="24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"/>
      <c r="D819" s="23"/>
      <c r="E819" s="10"/>
      <c r="F819" s="10"/>
      <c r="G819" s="10"/>
      <c r="H819" s="24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"/>
      <c r="D820" s="23"/>
      <c r="E820" s="10"/>
      <c r="F820" s="10"/>
      <c r="G820" s="10"/>
      <c r="H820" s="24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"/>
      <c r="D821" s="23"/>
      <c r="E821" s="10"/>
      <c r="F821" s="10"/>
      <c r="G821" s="10"/>
      <c r="H821" s="24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"/>
      <c r="D822" s="23"/>
      <c r="E822" s="10"/>
      <c r="F822" s="10"/>
      <c r="G822" s="10"/>
      <c r="H822" s="24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"/>
      <c r="D823" s="23"/>
      <c r="E823" s="10"/>
      <c r="F823" s="10"/>
      <c r="G823" s="10"/>
      <c r="H823" s="24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"/>
      <c r="D824" s="23"/>
      <c r="E824" s="10"/>
      <c r="F824" s="10"/>
      <c r="G824" s="10"/>
      <c r="H824" s="24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"/>
      <c r="D825" s="23"/>
      <c r="E825" s="10"/>
      <c r="F825" s="10"/>
      <c r="G825" s="10"/>
      <c r="H825" s="24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"/>
      <c r="D826" s="23"/>
      <c r="E826" s="10"/>
      <c r="F826" s="10"/>
      <c r="G826" s="10"/>
      <c r="H826" s="24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"/>
      <c r="D827" s="23"/>
      <c r="E827" s="10"/>
      <c r="F827" s="10"/>
      <c r="G827" s="10"/>
      <c r="H827" s="24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"/>
      <c r="D828" s="23"/>
      <c r="E828" s="10"/>
      <c r="F828" s="10"/>
      <c r="G828" s="10"/>
      <c r="H828" s="24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"/>
      <c r="D829" s="23"/>
      <c r="E829" s="10"/>
      <c r="F829" s="10"/>
      <c r="G829" s="10"/>
      <c r="H829" s="24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"/>
      <c r="D830" s="23"/>
      <c r="E830" s="10"/>
      <c r="F830" s="10"/>
      <c r="G830" s="10"/>
      <c r="H830" s="24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"/>
      <c r="D831" s="23"/>
      <c r="E831" s="10"/>
      <c r="F831" s="10"/>
      <c r="G831" s="10"/>
      <c r="H831" s="24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"/>
      <c r="D832" s="23"/>
      <c r="E832" s="10"/>
      <c r="F832" s="10"/>
      <c r="G832" s="10"/>
      <c r="H832" s="24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"/>
      <c r="D833" s="23"/>
      <c r="E833" s="10"/>
      <c r="F833" s="10"/>
      <c r="G833" s="10"/>
      <c r="H833" s="24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"/>
      <c r="D834" s="23"/>
      <c r="E834" s="10"/>
      <c r="F834" s="10"/>
      <c r="G834" s="10"/>
      <c r="H834" s="24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"/>
      <c r="D835" s="23"/>
      <c r="E835" s="10"/>
      <c r="F835" s="10"/>
      <c r="G835" s="10"/>
      <c r="H835" s="24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"/>
      <c r="D836" s="23"/>
      <c r="E836" s="10"/>
      <c r="F836" s="10"/>
      <c r="G836" s="10"/>
      <c r="H836" s="24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"/>
      <c r="D837" s="23"/>
      <c r="E837" s="10"/>
      <c r="F837" s="10"/>
      <c r="G837" s="10"/>
      <c r="H837" s="24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"/>
      <c r="D838" s="23"/>
      <c r="E838" s="10"/>
      <c r="F838" s="10"/>
      <c r="G838" s="10"/>
      <c r="H838" s="24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"/>
      <c r="D839" s="23"/>
      <c r="E839" s="10"/>
      <c r="F839" s="10"/>
      <c r="G839" s="10"/>
      <c r="H839" s="24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"/>
      <c r="D840" s="23"/>
      <c r="E840" s="10"/>
      <c r="F840" s="10"/>
      <c r="G840" s="10"/>
      <c r="H840" s="24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"/>
      <c r="D841" s="23"/>
      <c r="E841" s="10"/>
      <c r="F841" s="10"/>
      <c r="G841" s="10"/>
      <c r="H841" s="24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"/>
      <c r="D842" s="23"/>
      <c r="E842" s="10"/>
      <c r="F842" s="10"/>
      <c r="G842" s="10"/>
      <c r="H842" s="24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"/>
      <c r="D843" s="23"/>
      <c r="E843" s="10"/>
      <c r="F843" s="10"/>
      <c r="G843" s="10"/>
      <c r="H843" s="24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"/>
      <c r="D844" s="23"/>
      <c r="E844" s="10"/>
      <c r="F844" s="10"/>
      <c r="G844" s="10"/>
      <c r="H844" s="24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"/>
      <c r="D845" s="23"/>
      <c r="E845" s="10"/>
      <c r="F845" s="10"/>
      <c r="G845" s="10"/>
      <c r="H845" s="24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"/>
      <c r="D846" s="23"/>
      <c r="E846" s="10"/>
      <c r="F846" s="10"/>
      <c r="G846" s="10"/>
      <c r="H846" s="24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"/>
      <c r="D847" s="23"/>
      <c r="E847" s="10"/>
      <c r="F847" s="10"/>
      <c r="G847" s="10"/>
      <c r="H847" s="24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"/>
      <c r="D848" s="23"/>
      <c r="E848" s="10"/>
      <c r="F848" s="10"/>
      <c r="G848" s="10"/>
      <c r="H848" s="24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"/>
      <c r="D849" s="23"/>
      <c r="E849" s="10"/>
      <c r="F849" s="10"/>
      <c r="G849" s="10"/>
      <c r="H849" s="24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"/>
      <c r="D850" s="23"/>
      <c r="E850" s="10"/>
      <c r="F850" s="10"/>
      <c r="G850" s="10"/>
      <c r="H850" s="24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"/>
      <c r="D851" s="23"/>
      <c r="E851" s="10"/>
      <c r="F851" s="10"/>
      <c r="G851" s="10"/>
      <c r="H851" s="24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"/>
      <c r="D852" s="23"/>
      <c r="E852" s="10"/>
      <c r="F852" s="10"/>
      <c r="G852" s="10"/>
      <c r="H852" s="24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"/>
      <c r="D853" s="23"/>
      <c r="E853" s="10"/>
      <c r="F853" s="10"/>
      <c r="G853" s="10"/>
      <c r="H853" s="24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"/>
      <c r="D854" s="23"/>
      <c r="E854" s="10"/>
      <c r="F854" s="10"/>
      <c r="G854" s="10"/>
      <c r="H854" s="24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"/>
      <c r="D855" s="23"/>
      <c r="E855" s="10"/>
      <c r="F855" s="10"/>
      <c r="G855" s="10"/>
      <c r="H855" s="24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"/>
      <c r="D856" s="23"/>
      <c r="E856" s="10"/>
      <c r="F856" s="10"/>
      <c r="G856" s="10"/>
      <c r="H856" s="24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"/>
      <c r="D857" s="23"/>
      <c r="E857" s="10"/>
      <c r="F857" s="10"/>
      <c r="G857" s="10"/>
      <c r="H857" s="24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"/>
      <c r="D858" s="23"/>
      <c r="E858" s="10"/>
      <c r="F858" s="10"/>
      <c r="G858" s="10"/>
      <c r="H858" s="24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"/>
      <c r="D859" s="23"/>
      <c r="E859" s="10"/>
      <c r="F859" s="10"/>
      <c r="G859" s="10"/>
      <c r="H859" s="24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"/>
      <c r="D860" s="23"/>
      <c r="E860" s="10"/>
      <c r="F860" s="10"/>
      <c r="G860" s="10"/>
      <c r="H860" s="24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"/>
      <c r="D861" s="23"/>
      <c r="E861" s="10"/>
      <c r="F861" s="10"/>
      <c r="G861" s="10"/>
      <c r="H861" s="24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"/>
      <c r="D862" s="23"/>
      <c r="E862" s="10"/>
      <c r="F862" s="10"/>
      <c r="G862" s="10"/>
      <c r="H862" s="24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"/>
      <c r="D863" s="23"/>
      <c r="E863" s="10"/>
      <c r="F863" s="10"/>
      <c r="G863" s="10"/>
      <c r="H863" s="24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"/>
      <c r="D864" s="23"/>
      <c r="E864" s="10"/>
      <c r="F864" s="10"/>
      <c r="G864" s="10"/>
      <c r="H864" s="24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"/>
      <c r="D865" s="23"/>
      <c r="E865" s="10"/>
      <c r="F865" s="10"/>
      <c r="G865" s="10"/>
      <c r="H865" s="24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"/>
      <c r="D866" s="23"/>
      <c r="E866" s="10"/>
      <c r="F866" s="10"/>
      <c r="G866" s="10"/>
      <c r="H866" s="24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"/>
      <c r="D867" s="23"/>
      <c r="E867" s="10"/>
      <c r="F867" s="10"/>
      <c r="G867" s="10"/>
      <c r="H867" s="24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"/>
      <c r="D868" s="23"/>
      <c r="E868" s="10"/>
      <c r="F868" s="10"/>
      <c r="G868" s="10"/>
      <c r="H868" s="24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"/>
      <c r="D869" s="23"/>
      <c r="E869" s="10"/>
      <c r="F869" s="10"/>
      <c r="G869" s="10"/>
      <c r="H869" s="24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"/>
      <c r="D870" s="23"/>
      <c r="E870" s="10"/>
      <c r="F870" s="10"/>
      <c r="G870" s="10"/>
      <c r="H870" s="24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"/>
      <c r="D871" s="23"/>
      <c r="E871" s="10"/>
      <c r="F871" s="10"/>
      <c r="G871" s="10"/>
      <c r="H871" s="24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"/>
      <c r="D872" s="23"/>
      <c r="E872" s="10"/>
      <c r="F872" s="10"/>
      <c r="G872" s="10"/>
      <c r="H872" s="24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"/>
      <c r="D873" s="23"/>
      <c r="E873" s="10"/>
      <c r="F873" s="10"/>
      <c r="G873" s="10"/>
      <c r="H873" s="24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"/>
      <c r="D874" s="23"/>
      <c r="E874" s="10"/>
      <c r="F874" s="10"/>
      <c r="G874" s="10"/>
      <c r="H874" s="24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"/>
      <c r="D875" s="23"/>
      <c r="E875" s="10"/>
      <c r="F875" s="10"/>
      <c r="G875" s="10"/>
      <c r="H875" s="24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"/>
      <c r="D876" s="23"/>
      <c r="E876" s="10"/>
      <c r="F876" s="10"/>
      <c r="G876" s="10"/>
      <c r="H876" s="24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"/>
      <c r="D877" s="23"/>
      <c r="E877" s="10"/>
      <c r="F877" s="10"/>
      <c r="G877" s="10"/>
      <c r="H877" s="24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"/>
      <c r="D878" s="23"/>
      <c r="E878" s="10"/>
      <c r="F878" s="10"/>
      <c r="G878" s="10"/>
      <c r="H878" s="24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"/>
      <c r="D879" s="23"/>
      <c r="E879" s="10"/>
      <c r="F879" s="10"/>
      <c r="G879" s="10"/>
      <c r="H879" s="24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"/>
      <c r="D880" s="23"/>
      <c r="E880" s="10"/>
      <c r="F880" s="10"/>
      <c r="G880" s="10"/>
      <c r="H880" s="24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"/>
      <c r="D881" s="23"/>
      <c r="E881" s="10"/>
      <c r="F881" s="10"/>
      <c r="G881" s="10"/>
      <c r="H881" s="24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"/>
      <c r="D882" s="23"/>
      <c r="E882" s="10"/>
      <c r="F882" s="10"/>
      <c r="G882" s="10"/>
      <c r="H882" s="24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"/>
      <c r="D883" s="23"/>
      <c r="E883" s="10"/>
      <c r="F883" s="10"/>
      <c r="G883" s="10"/>
      <c r="H883" s="24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"/>
      <c r="D884" s="23"/>
      <c r="E884" s="10"/>
      <c r="F884" s="10"/>
      <c r="G884" s="10"/>
      <c r="H884" s="24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"/>
      <c r="D885" s="23"/>
      <c r="E885" s="10"/>
      <c r="F885" s="10"/>
      <c r="G885" s="10"/>
      <c r="H885" s="24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"/>
      <c r="D886" s="23"/>
      <c r="E886" s="10"/>
      <c r="F886" s="10"/>
      <c r="G886" s="10"/>
      <c r="H886" s="24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"/>
      <c r="D887" s="23"/>
      <c r="E887" s="10"/>
      <c r="F887" s="10"/>
      <c r="G887" s="10"/>
      <c r="H887" s="24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"/>
      <c r="D888" s="23"/>
      <c r="E888" s="10"/>
      <c r="F888" s="10"/>
      <c r="G888" s="10"/>
      <c r="H888" s="24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"/>
      <c r="D889" s="23"/>
      <c r="E889" s="10"/>
      <c r="F889" s="10"/>
      <c r="G889" s="10"/>
      <c r="H889" s="24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"/>
      <c r="D890" s="23"/>
      <c r="E890" s="10"/>
      <c r="F890" s="10"/>
      <c r="G890" s="10"/>
      <c r="H890" s="24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"/>
      <c r="D891" s="23"/>
      <c r="E891" s="10"/>
      <c r="F891" s="10"/>
      <c r="G891" s="10"/>
      <c r="H891" s="24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"/>
      <c r="D892" s="23"/>
      <c r="E892" s="10"/>
      <c r="F892" s="10"/>
      <c r="G892" s="10"/>
      <c r="H892" s="24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"/>
      <c r="D893" s="23"/>
      <c r="E893" s="10"/>
      <c r="F893" s="10"/>
      <c r="G893" s="10"/>
      <c r="H893" s="24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"/>
      <c r="D894" s="23"/>
      <c r="E894" s="10"/>
      <c r="F894" s="10"/>
      <c r="G894" s="10"/>
      <c r="H894" s="24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"/>
      <c r="D895" s="23"/>
      <c r="E895" s="10"/>
      <c r="F895" s="10"/>
      <c r="G895" s="10"/>
      <c r="H895" s="24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"/>
      <c r="D896" s="23"/>
      <c r="E896" s="10"/>
      <c r="F896" s="10"/>
      <c r="G896" s="10"/>
      <c r="H896" s="24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"/>
      <c r="D897" s="23"/>
      <c r="E897" s="10"/>
      <c r="F897" s="10"/>
      <c r="G897" s="10"/>
      <c r="H897" s="24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"/>
      <c r="D898" s="23"/>
      <c r="E898" s="10"/>
      <c r="F898" s="10"/>
      <c r="G898" s="10"/>
      <c r="H898" s="24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"/>
      <c r="D899" s="23"/>
      <c r="E899" s="10"/>
      <c r="F899" s="10"/>
      <c r="G899" s="10"/>
      <c r="H899" s="24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"/>
      <c r="D900" s="23"/>
      <c r="E900" s="10"/>
      <c r="F900" s="10"/>
      <c r="G900" s="10"/>
      <c r="H900" s="24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"/>
      <c r="D901" s="23"/>
      <c r="E901" s="10"/>
      <c r="F901" s="10"/>
      <c r="G901" s="10"/>
      <c r="H901" s="24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"/>
      <c r="D902" s="23"/>
      <c r="E902" s="10"/>
      <c r="F902" s="10"/>
      <c r="G902" s="10"/>
      <c r="H902" s="24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"/>
      <c r="D903" s="23"/>
      <c r="E903" s="10"/>
      <c r="F903" s="10"/>
      <c r="G903" s="10"/>
      <c r="H903" s="24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"/>
      <c r="D904" s="23"/>
      <c r="E904" s="10"/>
      <c r="F904" s="10"/>
      <c r="G904" s="10"/>
      <c r="H904" s="24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"/>
      <c r="D905" s="23"/>
      <c r="E905" s="10"/>
      <c r="F905" s="10"/>
      <c r="G905" s="10"/>
      <c r="H905" s="24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"/>
      <c r="D906" s="23"/>
      <c r="E906" s="10"/>
      <c r="F906" s="10"/>
      <c r="G906" s="10"/>
      <c r="H906" s="24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"/>
      <c r="D907" s="23"/>
      <c r="E907" s="10"/>
      <c r="F907" s="10"/>
      <c r="G907" s="10"/>
      <c r="H907" s="24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"/>
      <c r="D908" s="23"/>
      <c r="E908" s="10"/>
      <c r="F908" s="10"/>
      <c r="G908" s="10"/>
      <c r="H908" s="24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"/>
      <c r="D909" s="23"/>
      <c r="E909" s="10"/>
      <c r="F909" s="10"/>
      <c r="G909" s="10"/>
      <c r="H909" s="24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"/>
      <c r="D910" s="23"/>
      <c r="E910" s="10"/>
      <c r="F910" s="10"/>
      <c r="G910" s="10"/>
      <c r="H910" s="24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"/>
      <c r="D911" s="23"/>
      <c r="E911" s="10"/>
      <c r="F911" s="10"/>
      <c r="G911" s="10"/>
      <c r="H911" s="24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"/>
      <c r="D912" s="23"/>
      <c r="E912" s="10"/>
      <c r="F912" s="10"/>
      <c r="G912" s="10"/>
      <c r="H912" s="24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"/>
      <c r="D913" s="23"/>
      <c r="E913" s="10"/>
      <c r="F913" s="10"/>
      <c r="G913" s="10"/>
      <c r="H913" s="24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"/>
      <c r="D914" s="23"/>
      <c r="E914" s="10"/>
      <c r="F914" s="10"/>
      <c r="G914" s="10"/>
      <c r="H914" s="24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"/>
      <c r="D915" s="23"/>
      <c r="E915" s="10"/>
      <c r="F915" s="10"/>
      <c r="G915" s="10"/>
      <c r="H915" s="24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"/>
      <c r="D916" s="23"/>
      <c r="E916" s="10"/>
      <c r="F916" s="10"/>
      <c r="G916" s="10"/>
      <c r="H916" s="24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"/>
      <c r="D917" s="23"/>
      <c r="E917" s="10"/>
      <c r="F917" s="10"/>
      <c r="G917" s="10"/>
      <c r="H917" s="24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"/>
      <c r="D918" s="23"/>
      <c r="E918" s="10"/>
      <c r="F918" s="10"/>
      <c r="G918" s="10"/>
      <c r="H918" s="24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"/>
      <c r="D919" s="23"/>
      <c r="E919" s="10"/>
      <c r="F919" s="10"/>
      <c r="G919" s="10"/>
      <c r="H919" s="24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"/>
      <c r="D920" s="23"/>
      <c r="E920" s="10"/>
      <c r="F920" s="10"/>
      <c r="G920" s="10"/>
      <c r="H920" s="24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"/>
      <c r="D921" s="23"/>
      <c r="E921" s="10"/>
      <c r="F921" s="10"/>
      <c r="G921" s="10"/>
      <c r="H921" s="24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"/>
      <c r="D922" s="23"/>
      <c r="E922" s="10"/>
      <c r="F922" s="10"/>
      <c r="G922" s="10"/>
      <c r="H922" s="24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"/>
      <c r="D923" s="23"/>
      <c r="E923" s="10"/>
      <c r="F923" s="10"/>
      <c r="G923" s="10"/>
      <c r="H923" s="24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"/>
      <c r="D924" s="23"/>
      <c r="E924" s="10"/>
      <c r="F924" s="10"/>
      <c r="G924" s="10"/>
      <c r="H924" s="24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"/>
      <c r="D925" s="23"/>
      <c r="E925" s="10"/>
      <c r="F925" s="10"/>
      <c r="G925" s="10"/>
      <c r="H925" s="24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"/>
      <c r="D926" s="23"/>
      <c r="E926" s="10"/>
      <c r="F926" s="10"/>
      <c r="G926" s="10"/>
      <c r="H926" s="24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"/>
      <c r="D927" s="23"/>
      <c r="E927" s="10"/>
      <c r="F927" s="10"/>
      <c r="G927" s="10"/>
      <c r="H927" s="24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"/>
      <c r="D928" s="23"/>
      <c r="E928" s="10"/>
      <c r="F928" s="10"/>
      <c r="G928" s="10"/>
      <c r="H928" s="24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"/>
      <c r="D929" s="23"/>
      <c r="E929" s="10"/>
      <c r="F929" s="10"/>
      <c r="G929" s="10"/>
      <c r="H929" s="24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"/>
      <c r="D930" s="23"/>
      <c r="E930" s="10"/>
      <c r="F930" s="10"/>
      <c r="G930" s="10"/>
      <c r="H930" s="24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"/>
      <c r="D931" s="23"/>
      <c r="E931" s="10"/>
      <c r="F931" s="10"/>
      <c r="G931" s="10"/>
      <c r="H931" s="24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"/>
      <c r="D932" s="23"/>
      <c r="E932" s="10"/>
      <c r="F932" s="10"/>
      <c r="G932" s="10"/>
      <c r="H932" s="24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"/>
      <c r="D933" s="23"/>
      <c r="E933" s="10"/>
      <c r="F933" s="10"/>
      <c r="G933" s="10"/>
      <c r="H933" s="24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"/>
      <c r="D934" s="23"/>
      <c r="E934" s="10"/>
      <c r="F934" s="10"/>
      <c r="G934" s="10"/>
      <c r="H934" s="24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"/>
      <c r="D935" s="23"/>
      <c r="E935" s="10"/>
      <c r="F935" s="10"/>
      <c r="G935" s="10"/>
      <c r="H935" s="24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"/>
      <c r="D936" s="23"/>
      <c r="E936" s="10"/>
      <c r="F936" s="10"/>
      <c r="G936" s="10"/>
      <c r="H936" s="24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"/>
      <c r="D937" s="23"/>
      <c r="E937" s="10"/>
      <c r="F937" s="10"/>
      <c r="G937" s="10"/>
      <c r="H937" s="24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"/>
      <c r="D938" s="23"/>
      <c r="E938" s="10"/>
      <c r="F938" s="10"/>
      <c r="G938" s="10"/>
      <c r="H938" s="24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"/>
      <c r="D939" s="23"/>
      <c r="E939" s="10"/>
      <c r="F939" s="10"/>
      <c r="G939" s="10"/>
      <c r="H939" s="24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"/>
      <c r="D940" s="23"/>
      <c r="E940" s="10"/>
      <c r="F940" s="10"/>
      <c r="G940" s="10"/>
      <c r="H940" s="24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"/>
      <c r="D941" s="23"/>
      <c r="E941" s="10"/>
      <c r="F941" s="10"/>
      <c r="G941" s="10"/>
      <c r="H941" s="24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"/>
      <c r="D942" s="23"/>
      <c r="E942" s="10"/>
      <c r="F942" s="10"/>
      <c r="G942" s="10"/>
      <c r="H942" s="24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"/>
      <c r="D943" s="23"/>
      <c r="E943" s="10"/>
      <c r="F943" s="10"/>
      <c r="G943" s="10"/>
      <c r="H943" s="24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"/>
      <c r="D944" s="23"/>
      <c r="E944" s="10"/>
      <c r="F944" s="10"/>
      <c r="G944" s="10"/>
      <c r="H944" s="24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"/>
      <c r="D945" s="23"/>
      <c r="E945" s="10"/>
      <c r="F945" s="10"/>
      <c r="G945" s="10"/>
      <c r="H945" s="24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"/>
      <c r="D946" s="23"/>
      <c r="E946" s="10"/>
      <c r="F946" s="10"/>
      <c r="G946" s="10"/>
      <c r="H946" s="24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"/>
      <c r="D947" s="23"/>
      <c r="E947" s="10"/>
      <c r="F947" s="10"/>
      <c r="G947" s="10"/>
      <c r="H947" s="24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"/>
      <c r="D948" s="23"/>
      <c r="E948" s="10"/>
      <c r="F948" s="10"/>
      <c r="G948" s="10"/>
      <c r="H948" s="24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"/>
      <c r="D949" s="23"/>
      <c r="E949" s="10"/>
      <c r="F949" s="10"/>
      <c r="G949" s="10"/>
      <c r="H949" s="24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"/>
      <c r="D950" s="23"/>
      <c r="E950" s="10"/>
      <c r="F950" s="10"/>
      <c r="G950" s="10"/>
      <c r="H950" s="24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"/>
      <c r="D951" s="23"/>
      <c r="E951" s="10"/>
      <c r="F951" s="10"/>
      <c r="G951" s="10"/>
      <c r="H951" s="24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"/>
      <c r="D952" s="23"/>
      <c r="E952" s="10"/>
      <c r="F952" s="10"/>
      <c r="G952" s="10"/>
      <c r="H952" s="24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"/>
      <c r="D953" s="23"/>
      <c r="E953" s="10"/>
      <c r="F953" s="10"/>
      <c r="G953" s="10"/>
      <c r="H953" s="24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"/>
      <c r="D954" s="23"/>
      <c r="E954" s="10"/>
      <c r="F954" s="10"/>
      <c r="G954" s="10"/>
      <c r="H954" s="24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"/>
      <c r="D955" s="23"/>
      <c r="E955" s="10"/>
      <c r="F955" s="10"/>
      <c r="G955" s="10"/>
      <c r="H955" s="24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"/>
      <c r="D956" s="23"/>
      <c r="E956" s="10"/>
      <c r="F956" s="10"/>
      <c r="G956" s="10"/>
      <c r="H956" s="24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"/>
      <c r="D957" s="23"/>
      <c r="E957" s="10"/>
      <c r="F957" s="10"/>
      <c r="G957" s="10"/>
      <c r="H957" s="24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"/>
      <c r="D958" s="23"/>
      <c r="E958" s="10"/>
      <c r="F958" s="10"/>
      <c r="G958" s="10"/>
      <c r="H958" s="24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"/>
      <c r="D959" s="23"/>
      <c r="E959" s="10"/>
      <c r="F959" s="10"/>
      <c r="G959" s="10"/>
      <c r="H959" s="24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"/>
      <c r="D960" s="23"/>
      <c r="E960" s="10"/>
      <c r="F960" s="10"/>
      <c r="G960" s="10"/>
      <c r="H960" s="24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"/>
      <c r="D961" s="23"/>
      <c r="E961" s="10"/>
      <c r="F961" s="10"/>
      <c r="G961" s="10"/>
      <c r="H961" s="24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"/>
      <c r="D962" s="23"/>
      <c r="E962" s="10"/>
      <c r="F962" s="10"/>
      <c r="G962" s="10"/>
      <c r="H962" s="24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"/>
      <c r="D963" s="23"/>
      <c r="E963" s="10"/>
      <c r="F963" s="10"/>
      <c r="G963" s="10"/>
      <c r="H963" s="24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"/>
      <c r="D964" s="23"/>
      <c r="E964" s="10"/>
      <c r="F964" s="10"/>
      <c r="G964" s="10"/>
      <c r="H964" s="24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"/>
      <c r="D965" s="23"/>
      <c r="E965" s="10"/>
      <c r="F965" s="10"/>
      <c r="G965" s="10"/>
      <c r="H965" s="24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"/>
      <c r="D966" s="23"/>
      <c r="E966" s="10"/>
      <c r="F966" s="10"/>
      <c r="G966" s="10"/>
      <c r="H966" s="24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"/>
      <c r="D967" s="23"/>
      <c r="E967" s="10"/>
      <c r="F967" s="10"/>
      <c r="G967" s="10"/>
      <c r="H967" s="24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"/>
      <c r="D968" s="23"/>
      <c r="E968" s="10"/>
      <c r="F968" s="10"/>
      <c r="G968" s="10"/>
      <c r="H968" s="24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"/>
      <c r="D969" s="23"/>
      <c r="E969" s="10"/>
      <c r="F969" s="10"/>
      <c r="G969" s="10"/>
      <c r="H969" s="24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"/>
      <c r="D970" s="23"/>
      <c r="E970" s="10"/>
      <c r="F970" s="10"/>
      <c r="G970" s="10"/>
      <c r="H970" s="24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"/>
      <c r="D971" s="23"/>
      <c r="E971" s="10"/>
      <c r="F971" s="10"/>
      <c r="G971" s="10"/>
      <c r="H971" s="24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"/>
      <c r="D972" s="23"/>
      <c r="E972" s="10"/>
      <c r="F972" s="10"/>
      <c r="G972" s="10"/>
      <c r="H972" s="24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"/>
      <c r="D973" s="23"/>
      <c r="E973" s="10"/>
      <c r="F973" s="10"/>
      <c r="G973" s="10"/>
      <c r="H973" s="24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"/>
      <c r="D974" s="23"/>
      <c r="E974" s="10"/>
      <c r="F974" s="10"/>
      <c r="G974" s="10"/>
      <c r="H974" s="24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"/>
      <c r="D975" s="23"/>
      <c r="E975" s="10"/>
      <c r="F975" s="10"/>
      <c r="G975" s="10"/>
      <c r="H975" s="24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"/>
      <c r="D976" s="23"/>
      <c r="E976" s="10"/>
      <c r="F976" s="10"/>
      <c r="G976" s="10"/>
      <c r="H976" s="24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"/>
      <c r="D977" s="23"/>
      <c r="E977" s="10"/>
      <c r="F977" s="10"/>
      <c r="G977" s="10"/>
      <c r="H977" s="24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"/>
      <c r="D978" s="23"/>
      <c r="E978" s="10"/>
      <c r="F978" s="10"/>
      <c r="G978" s="10"/>
      <c r="H978" s="24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"/>
      <c r="D979" s="23"/>
      <c r="E979" s="10"/>
      <c r="F979" s="10"/>
      <c r="G979" s="10"/>
      <c r="H979" s="24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"/>
      <c r="D980" s="23"/>
      <c r="E980" s="10"/>
      <c r="F980" s="10"/>
      <c r="G980" s="10"/>
      <c r="H980" s="24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"/>
      <c r="D981" s="23"/>
      <c r="E981" s="10"/>
      <c r="F981" s="10"/>
      <c r="G981" s="10"/>
      <c r="H981" s="24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"/>
      <c r="D982" s="23"/>
      <c r="E982" s="10"/>
      <c r="F982" s="10"/>
      <c r="G982" s="10"/>
      <c r="H982" s="24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"/>
      <c r="D983" s="23"/>
      <c r="E983" s="10"/>
      <c r="F983" s="10"/>
      <c r="G983" s="10"/>
      <c r="H983" s="24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"/>
      <c r="D984" s="23"/>
      <c r="E984" s="10"/>
      <c r="F984" s="10"/>
      <c r="G984" s="10"/>
      <c r="H984" s="24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"/>
      <c r="D985" s="23"/>
      <c r="E985" s="10"/>
      <c r="F985" s="10"/>
      <c r="G985" s="10"/>
      <c r="H985" s="24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"/>
      <c r="D986" s="23"/>
      <c r="E986" s="10"/>
      <c r="F986" s="10"/>
      <c r="G986" s="10"/>
      <c r="H986" s="24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"/>
      <c r="D987" s="23"/>
      <c r="E987" s="10"/>
      <c r="F987" s="10"/>
      <c r="G987" s="10"/>
      <c r="H987" s="24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"/>
      <c r="D988" s="23"/>
      <c r="E988" s="10"/>
      <c r="F988" s="10"/>
      <c r="G988" s="10"/>
      <c r="H988" s="24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"/>
      <c r="D989" s="23"/>
      <c r="E989" s="10"/>
      <c r="F989" s="10"/>
      <c r="G989" s="10"/>
      <c r="H989" s="24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"/>
      <c r="D990" s="23"/>
      <c r="E990" s="10"/>
      <c r="F990" s="10"/>
      <c r="G990" s="10"/>
      <c r="H990" s="24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"/>
      <c r="D991" s="23"/>
      <c r="E991" s="10"/>
      <c r="F991" s="10"/>
      <c r="G991" s="10"/>
      <c r="H991" s="24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"/>
      <c r="D992" s="23"/>
      <c r="E992" s="10"/>
      <c r="F992" s="10"/>
      <c r="G992" s="10"/>
      <c r="H992" s="24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"/>
      <c r="D993" s="23"/>
      <c r="E993" s="10"/>
      <c r="F993" s="10"/>
      <c r="G993" s="10"/>
      <c r="H993" s="24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"/>
      <c r="D994" s="23"/>
      <c r="E994" s="10"/>
      <c r="F994" s="10"/>
      <c r="G994" s="10"/>
      <c r="H994" s="24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"/>
      <c r="D995" s="23"/>
      <c r="E995" s="10"/>
      <c r="F995" s="10"/>
      <c r="G995" s="10"/>
      <c r="H995" s="24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"/>
      <c r="D996" s="23"/>
      <c r="E996" s="10"/>
      <c r="F996" s="10"/>
      <c r="G996" s="10"/>
      <c r="H996" s="24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"/>
      <c r="D997" s="23"/>
      <c r="E997" s="10"/>
      <c r="F997" s="10"/>
      <c r="G997" s="10"/>
      <c r="H997" s="24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"/>
      <c r="D998" s="23"/>
      <c r="E998" s="10"/>
      <c r="F998" s="10"/>
      <c r="G998" s="10"/>
      <c r="H998" s="24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"/>
      <c r="D999" s="23"/>
      <c r="E999" s="10"/>
      <c r="F999" s="10"/>
      <c r="G999" s="10"/>
      <c r="H999" s="24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"/>
      <c r="D1000" s="23"/>
      <c r="E1000" s="10"/>
      <c r="F1000" s="10"/>
      <c r="G1000" s="10"/>
      <c r="H1000" s="24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1">
    <mergeCell ref="E27:G27"/>
    <mergeCell ref="E28:G28"/>
    <mergeCell ref="E29:G29"/>
    <mergeCell ref="E30:G30"/>
    <mergeCell ref="E17:G17"/>
    <mergeCell ref="E18:G18"/>
    <mergeCell ref="E19:G19"/>
    <mergeCell ref="E20:G20"/>
    <mergeCell ref="E21:G21"/>
    <mergeCell ref="E22:G22"/>
    <mergeCell ref="E23:G23"/>
    <mergeCell ref="E26:G26"/>
    <mergeCell ref="E25:G25"/>
    <mergeCell ref="E24:G24"/>
    <mergeCell ref="E15:G15"/>
    <mergeCell ref="E16:G16"/>
    <mergeCell ref="B2:G2"/>
    <mergeCell ref="E3:G3"/>
    <mergeCell ref="D4:D6"/>
    <mergeCell ref="E13:G13"/>
    <mergeCell ref="E14:G1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H1000"/>
  <sheetViews>
    <sheetView showGridLines="0" zoomScale="70" zoomScaleNormal="70" workbookViewId="0">
      <selection activeCell="B14" sqref="B14:B24"/>
    </sheetView>
  </sheetViews>
  <sheetFormatPr defaultColWidth="14.44140625" defaultRowHeight="15" customHeight="1" x14ac:dyDescent="0.3"/>
  <cols>
    <col min="1" max="1" width="8.6640625" customWidth="1"/>
    <col min="2" max="2" width="16.33203125" customWidth="1"/>
    <col min="3" max="3" width="33.109375" customWidth="1"/>
    <col min="4" max="4" width="30.88671875" customWidth="1"/>
    <col min="5" max="5" width="8.88671875" customWidth="1"/>
    <col min="6" max="26" width="8.6640625" customWidth="1"/>
  </cols>
  <sheetData>
    <row r="1" spans="2:8" ht="14.25" customHeight="1" x14ac:dyDescent="0.3"/>
    <row r="2" spans="2:8" ht="14.25" customHeight="1" x14ac:dyDescent="0.3">
      <c r="B2" s="41" t="s">
        <v>26</v>
      </c>
      <c r="C2" s="42"/>
      <c r="D2" s="42"/>
      <c r="E2" s="42"/>
      <c r="F2" s="42"/>
      <c r="G2" s="43"/>
    </row>
    <row r="3" spans="2:8" ht="14.25" customHeight="1" x14ac:dyDescent="0.3">
      <c r="B3" s="11" t="s">
        <v>27</v>
      </c>
      <c r="C3" s="12" t="s">
        <v>28</v>
      </c>
      <c r="D3" s="14" t="s">
        <v>29</v>
      </c>
      <c r="E3" s="44"/>
      <c r="F3" s="42"/>
      <c r="G3" s="43"/>
    </row>
    <row r="4" spans="2:8" ht="14.25" customHeight="1" x14ac:dyDescent="0.3">
      <c r="B4" s="11" t="s">
        <v>30</v>
      </c>
      <c r="C4" s="12" t="s">
        <v>116</v>
      </c>
      <c r="D4" s="45">
        <f>COUNTA(H14:H594)</f>
        <v>11</v>
      </c>
      <c r="E4" s="14" t="s">
        <v>31</v>
      </c>
      <c r="F4" s="13" t="s">
        <v>32</v>
      </c>
      <c r="G4" s="13" t="s">
        <v>33</v>
      </c>
    </row>
    <row r="5" spans="2:8" ht="14.25" customHeight="1" x14ac:dyDescent="0.3">
      <c r="B5" s="11" t="s">
        <v>34</v>
      </c>
      <c r="C5" s="12" t="s">
        <v>35</v>
      </c>
      <c r="D5" s="62"/>
      <c r="E5" s="27">
        <f>COUNTIF(H13:H94, "PASS")</f>
        <v>11</v>
      </c>
      <c r="F5" s="27">
        <f>COUNTIF(H13:H94, "FAIL")</f>
        <v>0</v>
      </c>
      <c r="G5" s="27">
        <f>COUNTIF(H13:H94, "SKIP")</f>
        <v>0</v>
      </c>
    </row>
    <row r="6" spans="2:8" ht="14.25" customHeight="1" x14ac:dyDescent="0.3">
      <c r="B6" s="11" t="s">
        <v>36</v>
      </c>
      <c r="C6" s="15">
        <v>46133</v>
      </c>
      <c r="D6" s="63"/>
      <c r="E6" s="28">
        <f>E5/D4</f>
        <v>1</v>
      </c>
      <c r="F6" s="28">
        <f>F5/D4</f>
        <v>0</v>
      </c>
      <c r="G6" s="28">
        <f>G5/D4</f>
        <v>0</v>
      </c>
    </row>
    <row r="7" spans="2:8" ht="14.25" customHeight="1" x14ac:dyDescent="0.3"/>
    <row r="8" spans="2:8" ht="14.25" customHeight="1" x14ac:dyDescent="0.3"/>
    <row r="9" spans="2:8" ht="14.25" customHeight="1" x14ac:dyDescent="0.3"/>
    <row r="10" spans="2:8" ht="14.25" customHeight="1" x14ac:dyDescent="0.3"/>
    <row r="11" spans="2:8" ht="14.25" customHeight="1" x14ac:dyDescent="0.3"/>
    <row r="12" spans="2:8" ht="14.25" customHeight="1" x14ac:dyDescent="0.3"/>
    <row r="13" spans="2:8" ht="14.25" customHeight="1" x14ac:dyDescent="0.3">
      <c r="B13" s="21" t="s">
        <v>37</v>
      </c>
      <c r="C13" s="21" t="s">
        <v>38</v>
      </c>
      <c r="D13" s="16" t="s">
        <v>39</v>
      </c>
      <c r="E13" s="64" t="s">
        <v>40</v>
      </c>
      <c r="F13" s="42"/>
      <c r="G13" s="43"/>
      <c r="H13" s="17" t="s">
        <v>41</v>
      </c>
    </row>
    <row r="14" spans="2:8" ht="49.5" customHeight="1" x14ac:dyDescent="0.3">
      <c r="B14" s="27" t="s">
        <v>117</v>
      </c>
      <c r="C14" s="19" t="s">
        <v>118</v>
      </c>
      <c r="D14" s="22" t="s">
        <v>119</v>
      </c>
      <c r="E14" s="61" t="s">
        <v>120</v>
      </c>
      <c r="F14" s="42"/>
      <c r="G14" s="43"/>
      <c r="H14" s="18" t="s">
        <v>46</v>
      </c>
    </row>
    <row r="15" spans="2:8" ht="49.5" customHeight="1" x14ac:dyDescent="0.3">
      <c r="B15" s="27" t="s">
        <v>121</v>
      </c>
      <c r="C15" s="19" t="s">
        <v>122</v>
      </c>
      <c r="D15" s="22" t="s">
        <v>123</v>
      </c>
      <c r="E15" s="61" t="s">
        <v>120</v>
      </c>
      <c r="F15" s="42"/>
      <c r="G15" s="43"/>
      <c r="H15" s="18" t="s">
        <v>46</v>
      </c>
    </row>
    <row r="16" spans="2:8" ht="49.5" customHeight="1" x14ac:dyDescent="0.3">
      <c r="B16" s="27" t="s">
        <v>124</v>
      </c>
      <c r="C16" s="19" t="s">
        <v>125</v>
      </c>
      <c r="D16" s="22" t="s">
        <v>126</v>
      </c>
      <c r="E16" s="61" t="s">
        <v>120</v>
      </c>
      <c r="F16" s="42"/>
      <c r="G16" s="43"/>
      <c r="H16" s="18" t="s">
        <v>46</v>
      </c>
    </row>
    <row r="17" spans="2:8" ht="49.5" customHeight="1" x14ac:dyDescent="0.3">
      <c r="B17" s="27" t="s">
        <v>127</v>
      </c>
      <c r="C17" s="19" t="s">
        <v>128</v>
      </c>
      <c r="D17" s="22" t="s">
        <v>129</v>
      </c>
      <c r="E17" s="61" t="s">
        <v>120</v>
      </c>
      <c r="F17" s="42"/>
      <c r="G17" s="43"/>
      <c r="H17" s="18" t="s">
        <v>46</v>
      </c>
    </row>
    <row r="18" spans="2:8" ht="49.5" customHeight="1" x14ac:dyDescent="0.3">
      <c r="B18" s="27" t="s">
        <v>130</v>
      </c>
      <c r="C18" s="19" t="s">
        <v>131</v>
      </c>
      <c r="D18" s="22" t="s">
        <v>132</v>
      </c>
      <c r="E18" s="61" t="s">
        <v>120</v>
      </c>
      <c r="F18" s="42"/>
      <c r="G18" s="43"/>
      <c r="H18" s="18" t="s">
        <v>46</v>
      </c>
    </row>
    <row r="19" spans="2:8" ht="49.5" customHeight="1" x14ac:dyDescent="0.3">
      <c r="B19" s="27" t="s">
        <v>133</v>
      </c>
      <c r="C19" s="19" t="s">
        <v>134</v>
      </c>
      <c r="D19" s="22" t="s">
        <v>135</v>
      </c>
      <c r="E19" s="61" t="s">
        <v>120</v>
      </c>
      <c r="F19" s="42"/>
      <c r="G19" s="43"/>
      <c r="H19" s="18" t="s">
        <v>46</v>
      </c>
    </row>
    <row r="20" spans="2:8" ht="49.5" customHeight="1" x14ac:dyDescent="0.3">
      <c r="B20" s="27" t="s">
        <v>136</v>
      </c>
      <c r="C20" s="19" t="s">
        <v>137</v>
      </c>
      <c r="D20" s="22" t="s">
        <v>138</v>
      </c>
      <c r="E20" s="61" t="s">
        <v>120</v>
      </c>
      <c r="F20" s="42"/>
      <c r="G20" s="43"/>
      <c r="H20" s="18" t="s">
        <v>46</v>
      </c>
    </row>
    <row r="21" spans="2:8" ht="49.5" customHeight="1" x14ac:dyDescent="0.3">
      <c r="B21" s="27" t="s">
        <v>139</v>
      </c>
      <c r="C21" s="19" t="s">
        <v>140</v>
      </c>
      <c r="D21" s="22" t="s">
        <v>141</v>
      </c>
      <c r="E21" s="65" t="s">
        <v>142</v>
      </c>
      <c r="F21" s="42"/>
      <c r="G21" s="43"/>
      <c r="H21" s="18" t="s">
        <v>46</v>
      </c>
    </row>
    <row r="22" spans="2:8" ht="49.5" customHeight="1" x14ac:dyDescent="0.3">
      <c r="B22" s="27" t="s">
        <v>143</v>
      </c>
      <c r="C22" s="19" t="s">
        <v>144</v>
      </c>
      <c r="D22" s="22" t="s">
        <v>145</v>
      </c>
      <c r="E22" s="65" t="s">
        <v>142</v>
      </c>
      <c r="F22" s="42"/>
      <c r="G22" s="43"/>
      <c r="H22" s="18" t="s">
        <v>46</v>
      </c>
    </row>
    <row r="23" spans="2:8" ht="49.5" customHeight="1" x14ac:dyDescent="0.3">
      <c r="B23" s="27" t="s">
        <v>146</v>
      </c>
      <c r="C23" s="19" t="s">
        <v>147</v>
      </c>
      <c r="D23" s="22" t="s">
        <v>148</v>
      </c>
      <c r="E23" s="65" t="s">
        <v>142</v>
      </c>
      <c r="F23" s="42"/>
      <c r="G23" s="43"/>
      <c r="H23" s="18" t="s">
        <v>46</v>
      </c>
    </row>
    <row r="24" spans="2:8" ht="49.5" customHeight="1" x14ac:dyDescent="0.3">
      <c r="B24" s="27" t="s">
        <v>149</v>
      </c>
      <c r="C24" s="19" t="s">
        <v>150</v>
      </c>
      <c r="D24" s="22" t="s">
        <v>151</v>
      </c>
      <c r="E24" s="65" t="s">
        <v>142</v>
      </c>
      <c r="F24" s="42"/>
      <c r="G24" s="43"/>
      <c r="H24" s="18" t="s">
        <v>46</v>
      </c>
    </row>
    <row r="25" spans="2:8" ht="14.25" customHeight="1" x14ac:dyDescent="0.3"/>
    <row r="26" spans="2:8" ht="14.25" customHeight="1" x14ac:dyDescent="0.3"/>
    <row r="27" spans="2:8" ht="14.25" customHeight="1" x14ac:dyDescent="0.3"/>
    <row r="28" spans="2:8" ht="14.25" customHeight="1" x14ac:dyDescent="0.3"/>
    <row r="29" spans="2:8" ht="14.25" customHeight="1" x14ac:dyDescent="0.3"/>
    <row r="30" spans="2:8" ht="14.25" customHeight="1" x14ac:dyDescent="0.3"/>
    <row r="31" spans="2:8" ht="14.25" customHeight="1" x14ac:dyDescent="0.3"/>
    <row r="32" spans="2:8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5">
    <mergeCell ref="E22:G22"/>
    <mergeCell ref="E23:G23"/>
    <mergeCell ref="E24:G24"/>
    <mergeCell ref="B2:G2"/>
    <mergeCell ref="E3:G3"/>
    <mergeCell ref="D4:D6"/>
    <mergeCell ref="E13:G13"/>
    <mergeCell ref="E14:G14"/>
    <mergeCell ref="E15:G15"/>
    <mergeCell ref="E16:G16"/>
    <mergeCell ref="E17:G17"/>
    <mergeCell ref="E18:G18"/>
    <mergeCell ref="E19:G19"/>
    <mergeCell ref="E20:G20"/>
    <mergeCell ref="E21:G2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B2:H16"/>
  <sheetViews>
    <sheetView showGridLines="0" zoomScale="70" zoomScaleNormal="70" workbookViewId="0">
      <selection activeCell="J10" sqref="J10"/>
    </sheetView>
  </sheetViews>
  <sheetFormatPr defaultColWidth="14.44140625" defaultRowHeight="15" customHeight="1" x14ac:dyDescent="0.3"/>
  <cols>
    <col min="2" max="2" width="19.109375" customWidth="1"/>
    <col min="3" max="3" width="23.88671875" customWidth="1"/>
    <col min="4" max="4" width="26.33203125" customWidth="1"/>
    <col min="8" max="8" width="12" customWidth="1"/>
  </cols>
  <sheetData>
    <row r="2" spans="2:8" ht="15.6" x14ac:dyDescent="0.3">
      <c r="B2" s="41" t="s">
        <v>26</v>
      </c>
      <c r="C2" s="42"/>
      <c r="D2" s="42"/>
      <c r="E2" s="42"/>
      <c r="F2" s="42"/>
      <c r="G2" s="43"/>
    </row>
    <row r="3" spans="2:8" ht="15.6" x14ac:dyDescent="0.3">
      <c r="B3" s="11" t="s">
        <v>27</v>
      </c>
      <c r="C3" s="12" t="s">
        <v>28</v>
      </c>
      <c r="D3" s="14" t="s">
        <v>29</v>
      </c>
      <c r="E3" s="44"/>
      <c r="F3" s="42"/>
      <c r="G3" s="43"/>
    </row>
    <row r="4" spans="2:8" ht="15.6" x14ac:dyDescent="0.3">
      <c r="B4" s="11" t="s">
        <v>30</v>
      </c>
      <c r="C4" s="12" t="s">
        <v>17</v>
      </c>
      <c r="D4" s="45">
        <f>COUNTA(H14:H594)</f>
        <v>3</v>
      </c>
      <c r="E4" s="14" t="s">
        <v>31</v>
      </c>
      <c r="F4" s="13" t="s">
        <v>32</v>
      </c>
      <c r="G4" s="13" t="s">
        <v>33</v>
      </c>
    </row>
    <row r="5" spans="2:8" ht="15.6" x14ac:dyDescent="0.3">
      <c r="B5" s="11" t="s">
        <v>34</v>
      </c>
      <c r="C5" s="12" t="s">
        <v>35</v>
      </c>
      <c r="D5" s="70"/>
      <c r="E5" s="27">
        <f>COUNTIF(H13:H94, "PASS")</f>
        <v>3</v>
      </c>
      <c r="F5" s="27">
        <f>COUNTIF(H13:H94, "FAIL")</f>
        <v>0</v>
      </c>
      <c r="G5" s="27">
        <f>COUNTIF(H13:H94, "SKIP")</f>
        <v>0</v>
      </c>
    </row>
    <row r="6" spans="2:8" ht="15.6" x14ac:dyDescent="0.3">
      <c r="B6" s="11" t="s">
        <v>36</v>
      </c>
      <c r="C6" s="15">
        <v>46133</v>
      </c>
      <c r="D6" s="71"/>
      <c r="E6" s="28">
        <f>E5/D4</f>
        <v>1</v>
      </c>
      <c r="F6" s="28">
        <f>F5/D4</f>
        <v>0</v>
      </c>
      <c r="G6" s="28">
        <f>G5/D4</f>
        <v>0</v>
      </c>
    </row>
    <row r="13" spans="2:8" ht="15.6" x14ac:dyDescent="0.3">
      <c r="B13" s="21" t="s">
        <v>37</v>
      </c>
      <c r="C13" s="21" t="s">
        <v>38</v>
      </c>
      <c r="D13" s="16" t="s">
        <v>39</v>
      </c>
      <c r="E13" s="64" t="s">
        <v>40</v>
      </c>
      <c r="F13" s="42"/>
      <c r="G13" s="43"/>
      <c r="H13" s="25" t="s">
        <v>41</v>
      </c>
    </row>
    <row r="14" spans="2:8" ht="33.6" customHeight="1" x14ac:dyDescent="0.3">
      <c r="B14" s="18" t="s">
        <v>152</v>
      </c>
      <c r="C14" s="36" t="s">
        <v>153</v>
      </c>
      <c r="D14" s="20" t="s">
        <v>225</v>
      </c>
      <c r="E14" s="61" t="s">
        <v>154</v>
      </c>
      <c r="F14" s="42"/>
      <c r="G14" s="43"/>
      <c r="H14" s="18" t="s">
        <v>46</v>
      </c>
    </row>
    <row r="15" spans="2:8" ht="31.8" customHeight="1" x14ac:dyDescent="0.3">
      <c r="B15" s="18" t="s">
        <v>155</v>
      </c>
      <c r="C15" s="36" t="s">
        <v>156</v>
      </c>
      <c r="D15" s="20" t="s">
        <v>223</v>
      </c>
      <c r="E15" s="61" t="s">
        <v>157</v>
      </c>
      <c r="F15" s="42"/>
      <c r="G15" s="43"/>
      <c r="H15" s="18" t="s">
        <v>46</v>
      </c>
    </row>
    <row r="16" spans="2:8" ht="92.4" customHeight="1" x14ac:dyDescent="0.3">
      <c r="B16" s="18" t="s">
        <v>158</v>
      </c>
      <c r="C16" s="36" t="s">
        <v>159</v>
      </c>
      <c r="D16" s="20" t="s">
        <v>224</v>
      </c>
      <c r="E16" s="61" t="s">
        <v>160</v>
      </c>
      <c r="F16" s="42"/>
      <c r="G16" s="43"/>
      <c r="H16" s="18" t="s">
        <v>46</v>
      </c>
    </row>
  </sheetData>
  <mergeCells count="7">
    <mergeCell ref="E15:G15"/>
    <mergeCell ref="E16:G16"/>
    <mergeCell ref="B2:G2"/>
    <mergeCell ref="E3:G3"/>
    <mergeCell ref="D4:D6"/>
    <mergeCell ref="E13:G13"/>
    <mergeCell ref="E14:G1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C3:I21"/>
  <sheetViews>
    <sheetView showGridLines="0" topLeftCell="A4" zoomScale="70" zoomScaleNormal="70" workbookViewId="0">
      <selection activeCell="P14" sqref="P14"/>
    </sheetView>
  </sheetViews>
  <sheetFormatPr defaultColWidth="14.44140625" defaultRowHeight="15" customHeight="1" x14ac:dyDescent="0.3"/>
  <cols>
    <col min="1" max="2" width="14.44140625" style="1"/>
    <col min="3" max="3" width="19.109375" style="1" customWidth="1"/>
    <col min="4" max="4" width="23.88671875" style="37" customWidth="1"/>
    <col min="5" max="5" width="30.88671875" style="1" customWidth="1"/>
    <col min="6" max="8" width="14.44140625" style="1"/>
    <col min="9" max="9" width="12" style="1" customWidth="1"/>
    <col min="10" max="16384" width="14.44140625" style="1"/>
  </cols>
  <sheetData>
    <row r="3" spans="3:9" ht="15.6" x14ac:dyDescent="0.3">
      <c r="C3" s="74" t="s">
        <v>26</v>
      </c>
      <c r="D3" s="72"/>
      <c r="E3" s="72"/>
      <c r="F3" s="72"/>
      <c r="G3" s="72"/>
      <c r="H3" s="73"/>
    </row>
    <row r="4" spans="3:9" ht="15.6" x14ac:dyDescent="0.3">
      <c r="C4" s="11" t="s">
        <v>27</v>
      </c>
      <c r="D4" s="12" t="s">
        <v>28</v>
      </c>
      <c r="E4" s="27" t="s">
        <v>29</v>
      </c>
      <c r="F4" s="75"/>
      <c r="G4" s="76"/>
      <c r="H4" s="77"/>
    </row>
    <row r="5" spans="3:9" ht="15.6" x14ac:dyDescent="0.3">
      <c r="C5" s="11" t="s">
        <v>30</v>
      </c>
      <c r="D5" s="12" t="s">
        <v>161</v>
      </c>
      <c r="E5" s="45">
        <f>COUNTA(I15:I595)</f>
        <v>7</v>
      </c>
      <c r="F5" s="27" t="s">
        <v>31</v>
      </c>
      <c r="G5" s="19" t="s">
        <v>32</v>
      </c>
      <c r="H5" s="19" t="s">
        <v>33</v>
      </c>
    </row>
    <row r="6" spans="3:9" ht="15.6" x14ac:dyDescent="0.3">
      <c r="C6" s="11" t="s">
        <v>34</v>
      </c>
      <c r="D6" s="12" t="s">
        <v>35</v>
      </c>
      <c r="E6" s="78"/>
      <c r="F6" s="27">
        <f>COUNTIF(I14:I95, "PASS")</f>
        <v>7</v>
      </c>
      <c r="G6" s="27">
        <f>COUNTIF(I14:I95, "FAIL")</f>
        <v>0</v>
      </c>
      <c r="H6" s="27">
        <f>COUNTIF(I14:I95, "SKIP")</f>
        <v>0</v>
      </c>
    </row>
    <row r="7" spans="3:9" ht="15.6" x14ac:dyDescent="0.3">
      <c r="C7" s="11" t="s">
        <v>36</v>
      </c>
      <c r="D7" s="15">
        <v>46133</v>
      </c>
      <c r="E7" s="79"/>
      <c r="F7" s="28">
        <f>F6/E5</f>
        <v>1</v>
      </c>
      <c r="G7" s="28">
        <f>G6/E5</f>
        <v>0</v>
      </c>
      <c r="H7" s="28">
        <f>H6/E5</f>
        <v>0</v>
      </c>
    </row>
    <row r="14" spans="3:9" ht="15.6" x14ac:dyDescent="0.3">
      <c r="C14" s="21" t="s">
        <v>37</v>
      </c>
      <c r="D14" s="21" t="s">
        <v>38</v>
      </c>
      <c r="E14" s="16" t="s">
        <v>39</v>
      </c>
      <c r="F14" s="64" t="s">
        <v>40</v>
      </c>
      <c r="G14" s="72"/>
      <c r="H14" s="73"/>
      <c r="I14" s="17" t="s">
        <v>41</v>
      </c>
    </row>
    <row r="15" spans="3:9" ht="78" x14ac:dyDescent="0.3">
      <c r="C15" s="18" t="s">
        <v>162</v>
      </c>
      <c r="D15" s="36" t="s">
        <v>163</v>
      </c>
      <c r="E15" s="20" t="s">
        <v>164</v>
      </c>
      <c r="F15" s="61" t="s">
        <v>165</v>
      </c>
      <c r="G15" s="72"/>
      <c r="H15" s="73"/>
      <c r="I15" s="18" t="s">
        <v>46</v>
      </c>
    </row>
    <row r="16" spans="3:9" ht="78" x14ac:dyDescent="0.3">
      <c r="C16" s="18" t="s">
        <v>166</v>
      </c>
      <c r="D16" s="36" t="s">
        <v>167</v>
      </c>
      <c r="E16" s="20" t="s">
        <v>168</v>
      </c>
      <c r="F16" s="61" t="s">
        <v>169</v>
      </c>
      <c r="G16" s="72"/>
      <c r="H16" s="73"/>
      <c r="I16" s="18" t="s">
        <v>46</v>
      </c>
    </row>
    <row r="17" spans="3:9" ht="78" x14ac:dyDescent="0.3">
      <c r="C17" s="18" t="s">
        <v>170</v>
      </c>
      <c r="D17" s="36" t="s">
        <v>171</v>
      </c>
      <c r="E17" s="20" t="s">
        <v>172</v>
      </c>
      <c r="F17" s="61" t="s">
        <v>173</v>
      </c>
      <c r="G17" s="72"/>
      <c r="H17" s="73"/>
      <c r="I17" s="18" t="s">
        <v>46</v>
      </c>
    </row>
    <row r="18" spans="3:9" ht="78" x14ac:dyDescent="0.3">
      <c r="C18" s="18" t="s">
        <v>174</v>
      </c>
      <c r="D18" s="36" t="s">
        <v>175</v>
      </c>
      <c r="E18" s="20" t="s">
        <v>176</v>
      </c>
      <c r="F18" s="61" t="s">
        <v>177</v>
      </c>
      <c r="G18" s="72"/>
      <c r="H18" s="73"/>
      <c r="I18" s="18" t="s">
        <v>46</v>
      </c>
    </row>
    <row r="19" spans="3:9" ht="78" x14ac:dyDescent="0.3">
      <c r="C19" s="18" t="s">
        <v>178</v>
      </c>
      <c r="D19" s="36" t="s">
        <v>179</v>
      </c>
      <c r="E19" s="20" t="s">
        <v>180</v>
      </c>
      <c r="F19" s="61" t="s">
        <v>181</v>
      </c>
      <c r="G19" s="72"/>
      <c r="H19" s="73"/>
      <c r="I19" s="18" t="s">
        <v>46</v>
      </c>
    </row>
    <row r="20" spans="3:9" ht="78" x14ac:dyDescent="0.3">
      <c r="C20" s="18" t="s">
        <v>182</v>
      </c>
      <c r="D20" s="36" t="s">
        <v>183</v>
      </c>
      <c r="E20" s="20" t="s">
        <v>184</v>
      </c>
      <c r="F20" s="61" t="s">
        <v>185</v>
      </c>
      <c r="G20" s="72"/>
      <c r="H20" s="73"/>
      <c r="I20" s="18" t="s">
        <v>46</v>
      </c>
    </row>
    <row r="21" spans="3:9" ht="75" customHeight="1" x14ac:dyDescent="0.3">
      <c r="C21" s="18" t="s">
        <v>186</v>
      </c>
      <c r="D21" s="36" t="s">
        <v>187</v>
      </c>
      <c r="E21" s="20" t="s">
        <v>188</v>
      </c>
      <c r="F21" s="61" t="s">
        <v>189</v>
      </c>
      <c r="G21" s="72"/>
      <c r="H21" s="73"/>
      <c r="I21" s="18" t="s">
        <v>46</v>
      </c>
    </row>
  </sheetData>
  <mergeCells count="11">
    <mergeCell ref="F18:H18"/>
    <mergeCell ref="F19:H19"/>
    <mergeCell ref="F20:H20"/>
    <mergeCell ref="F21:H21"/>
    <mergeCell ref="C3:H3"/>
    <mergeCell ref="F4:H4"/>
    <mergeCell ref="E5:E7"/>
    <mergeCell ref="F14:H14"/>
    <mergeCell ref="F15:H15"/>
    <mergeCell ref="F16:H16"/>
    <mergeCell ref="F17:H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71F3-F0A7-4B9F-B7CC-1F436091FE3E}">
  <dimension ref="B2:H28"/>
  <sheetViews>
    <sheetView showGridLines="0" zoomScale="70" zoomScaleNormal="70" workbookViewId="0">
      <selection activeCell="I4" sqref="I4"/>
    </sheetView>
  </sheetViews>
  <sheetFormatPr defaultRowHeight="14.4" x14ac:dyDescent="0.3"/>
  <cols>
    <col min="2" max="2" width="16.109375" customWidth="1"/>
    <col min="3" max="3" width="29.6640625" customWidth="1"/>
    <col min="4" max="4" width="31" style="30" customWidth="1"/>
  </cols>
  <sheetData>
    <row r="2" spans="2:8" ht="15.6" x14ac:dyDescent="0.3">
      <c r="B2" s="41" t="s">
        <v>26</v>
      </c>
      <c r="C2" s="42"/>
      <c r="D2" s="42"/>
      <c r="E2" s="42"/>
      <c r="F2" s="42"/>
      <c r="G2" s="43"/>
    </row>
    <row r="3" spans="2:8" ht="15.6" x14ac:dyDescent="0.3">
      <c r="B3" s="11" t="s">
        <v>27</v>
      </c>
      <c r="C3" s="12" t="s">
        <v>28</v>
      </c>
      <c r="D3" s="27" t="s">
        <v>29</v>
      </c>
      <c r="E3" s="44"/>
      <c r="F3" s="42"/>
      <c r="G3" s="43"/>
    </row>
    <row r="4" spans="2:8" ht="15.6" x14ac:dyDescent="0.3">
      <c r="B4" s="11" t="s">
        <v>30</v>
      </c>
      <c r="C4" s="12" t="s">
        <v>222</v>
      </c>
      <c r="D4" s="45">
        <f>COUNTA(H14:H595)</f>
        <v>7</v>
      </c>
      <c r="E4" s="14" t="s">
        <v>31</v>
      </c>
      <c r="F4" s="13" t="s">
        <v>32</v>
      </c>
      <c r="G4" s="13" t="s">
        <v>33</v>
      </c>
    </row>
    <row r="5" spans="2:8" ht="15.6" x14ac:dyDescent="0.3">
      <c r="B5" s="11" t="s">
        <v>34</v>
      </c>
      <c r="C5" s="12" t="s">
        <v>35</v>
      </c>
      <c r="D5" s="46"/>
      <c r="E5" s="27">
        <f>COUNTIF(H13:H95, "PASS")</f>
        <v>6</v>
      </c>
      <c r="F5" s="27">
        <f>COUNTIF(H13:H95, "FAIL")</f>
        <v>1</v>
      </c>
      <c r="G5" s="27">
        <f>COUNTIF(H13:H95, "SKIP")</f>
        <v>0</v>
      </c>
    </row>
    <row r="6" spans="2:8" ht="15.6" x14ac:dyDescent="0.3">
      <c r="B6" s="11" t="s">
        <v>36</v>
      </c>
      <c r="C6" s="15">
        <v>46133</v>
      </c>
      <c r="D6" s="47"/>
      <c r="E6" s="28">
        <f>E5/D4</f>
        <v>0.8571428571428571</v>
      </c>
      <c r="F6" s="28">
        <f>F5/D4</f>
        <v>0.14285714285714285</v>
      </c>
      <c r="G6" s="28">
        <f>G5/D4</f>
        <v>0</v>
      </c>
    </row>
    <row r="13" spans="2:8" ht="15.6" x14ac:dyDescent="0.3">
      <c r="B13" s="32" t="s">
        <v>37</v>
      </c>
      <c r="C13" s="32" t="s">
        <v>38</v>
      </c>
      <c r="D13" s="32" t="s">
        <v>39</v>
      </c>
      <c r="E13" s="48" t="s">
        <v>40</v>
      </c>
      <c r="F13" s="49"/>
      <c r="G13" s="49"/>
      <c r="H13" s="38" t="s">
        <v>41</v>
      </c>
    </row>
    <row r="14" spans="2:8" ht="36" x14ac:dyDescent="0.3">
      <c r="B14" s="34" t="s">
        <v>198</v>
      </c>
      <c r="C14" s="33" t="s">
        <v>199</v>
      </c>
      <c r="D14" s="31" t="s">
        <v>210</v>
      </c>
      <c r="E14" s="39" t="s">
        <v>216</v>
      </c>
      <c r="F14" s="40"/>
      <c r="G14" s="40"/>
      <c r="H14" s="35" t="s">
        <v>46</v>
      </c>
    </row>
    <row r="15" spans="2:8" ht="36" x14ac:dyDescent="0.3">
      <c r="B15" s="34" t="s">
        <v>200</v>
      </c>
      <c r="C15" s="33" t="s">
        <v>201</v>
      </c>
      <c r="D15" s="31" t="s">
        <v>211</v>
      </c>
      <c r="E15" s="39" t="s">
        <v>217</v>
      </c>
      <c r="F15" s="40"/>
      <c r="G15" s="40"/>
      <c r="H15" s="35" t="s">
        <v>221</v>
      </c>
    </row>
    <row r="16" spans="2:8" ht="36" customHeight="1" x14ac:dyDescent="0.3">
      <c r="B16" s="34" t="s">
        <v>202</v>
      </c>
      <c r="C16" s="33" t="s">
        <v>203</v>
      </c>
      <c r="D16" s="31" t="s">
        <v>212</v>
      </c>
      <c r="E16" s="39" t="s">
        <v>216</v>
      </c>
      <c r="F16" s="40"/>
      <c r="G16" s="40"/>
      <c r="H16" s="35" t="s">
        <v>46</v>
      </c>
    </row>
    <row r="17" spans="2:8" ht="36" customHeight="1" x14ac:dyDescent="0.3">
      <c r="B17" s="34" t="s">
        <v>204</v>
      </c>
      <c r="C17" s="33" t="s">
        <v>205</v>
      </c>
      <c r="D17" s="31" t="s">
        <v>213</v>
      </c>
      <c r="E17" s="39" t="s">
        <v>216</v>
      </c>
      <c r="F17" s="40"/>
      <c r="G17" s="40"/>
      <c r="H17" s="35" t="s">
        <v>46</v>
      </c>
    </row>
    <row r="18" spans="2:8" ht="36" customHeight="1" x14ac:dyDescent="0.3">
      <c r="B18" s="34" t="s">
        <v>206</v>
      </c>
      <c r="C18" s="33" t="s">
        <v>207</v>
      </c>
      <c r="D18" s="31" t="s">
        <v>214</v>
      </c>
      <c r="E18" s="39" t="s">
        <v>216</v>
      </c>
      <c r="F18" s="40"/>
      <c r="G18" s="40"/>
      <c r="H18" s="35" t="s">
        <v>46</v>
      </c>
    </row>
    <row r="19" spans="2:8" ht="36" customHeight="1" x14ac:dyDescent="0.3">
      <c r="B19" s="34" t="s">
        <v>208</v>
      </c>
      <c r="C19" s="33" t="s">
        <v>219</v>
      </c>
      <c r="D19" s="31" t="s">
        <v>220</v>
      </c>
      <c r="E19" s="39" t="s">
        <v>216</v>
      </c>
      <c r="F19" s="40"/>
      <c r="G19" s="40"/>
      <c r="H19" s="35" t="s">
        <v>46</v>
      </c>
    </row>
    <row r="20" spans="2:8" ht="78" customHeight="1" x14ac:dyDescent="0.3">
      <c r="B20" s="34" t="s">
        <v>218</v>
      </c>
      <c r="C20" s="33" t="s">
        <v>209</v>
      </c>
      <c r="D20" s="31" t="s">
        <v>215</v>
      </c>
      <c r="E20" s="39" t="s">
        <v>216</v>
      </c>
      <c r="F20" s="40"/>
      <c r="G20" s="40"/>
      <c r="H20" s="35" t="s">
        <v>46</v>
      </c>
    </row>
    <row r="21" spans="2:8" x14ac:dyDescent="0.3">
      <c r="D21" s="29"/>
    </row>
    <row r="22" spans="2:8" x14ac:dyDescent="0.3">
      <c r="D22" s="29"/>
    </row>
    <row r="23" spans="2:8" x14ac:dyDescent="0.3">
      <c r="D23" s="29"/>
    </row>
    <row r="24" spans="2:8" x14ac:dyDescent="0.3">
      <c r="D24" s="29"/>
    </row>
    <row r="25" spans="2:8" x14ac:dyDescent="0.3">
      <c r="D25" s="29"/>
    </row>
    <row r="26" spans="2:8" x14ac:dyDescent="0.3">
      <c r="D26" s="29"/>
    </row>
    <row r="27" spans="2:8" x14ac:dyDescent="0.3">
      <c r="D27" s="29"/>
    </row>
    <row r="28" spans="2:8" x14ac:dyDescent="0.3">
      <c r="D28" s="29"/>
    </row>
  </sheetData>
  <mergeCells count="11">
    <mergeCell ref="E16:G16"/>
    <mergeCell ref="E17:G17"/>
    <mergeCell ref="E18:G18"/>
    <mergeCell ref="E20:G20"/>
    <mergeCell ref="B2:G2"/>
    <mergeCell ref="E3:G3"/>
    <mergeCell ref="D4:D6"/>
    <mergeCell ref="E13:G13"/>
    <mergeCell ref="E14:G14"/>
    <mergeCell ref="E15:G15"/>
    <mergeCell ref="E19:G19"/>
  </mergeCells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Testcase List</vt:lpstr>
      <vt:lpstr>Đăng nhập</vt:lpstr>
      <vt:lpstr>Thêm nhân viên</vt:lpstr>
      <vt:lpstr>Tìm nhân viên</vt:lpstr>
      <vt:lpstr>Xóa nhân viên </vt:lpstr>
      <vt:lpstr>Đăng ký nghỉ</vt:lpstr>
      <vt:lpstr>Cập nhật thông tin cá nhân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Phương Phạm</dc:creator>
  <cp:lastModifiedBy>Phương Phạm</cp:lastModifiedBy>
  <dcterms:created xsi:type="dcterms:W3CDTF">2026-04-21T13:44:57Z</dcterms:created>
  <dcterms:modified xsi:type="dcterms:W3CDTF">2026-04-23T16:41:50Z</dcterms:modified>
</cp:coreProperties>
</file>